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5.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5345" windowHeight="4275" tabRatio="600" firstSheet="0" activeTab="0" autoFilterDateGrouping="1"/>
  </bookViews>
  <sheets>
    <sheet name="TRANG_CHU" sheetId="1" state="visible" r:id="rId1"/>
    <sheet name="B02" sheetId="2" state="visible" r:id="rId2"/>
    <sheet name="B03" sheetId="3" state="visible" r:id="rId3"/>
    <sheet name="B04" sheetId="4" state="visible" r:id="rId4"/>
    <sheet name="B05" sheetId="5" state="visible" r:id="rId5"/>
    <sheet name="Thue" sheetId="6" state="visible" r:id="rId6"/>
    <sheet name="TSCD2025" sheetId="7" state="visible" r:id="rId7"/>
    <sheet name="so lieu" sheetId="8" state="visible" r:id="rId8"/>
    <sheet name="But toan can tru" sheetId="9" state="visible" r:id="rId9"/>
    <sheet name="Sổ chi tiết TK LN" sheetId="10" state="hidden" r:id="rId10"/>
    <sheet name="Thuế TNDN Q4" sheetId="11" state="visible" r:id="rId11"/>
  </sheets>
  <externalReferences>
    <externalReference r:id="rId12"/>
    <externalReference r:id="rId13"/>
    <externalReference r:id="rId14"/>
    <externalReference r:id="rId15"/>
    <externalReference r:id="rId16"/>
  </externalReferences>
  <definedNames>
    <definedName name="_xlnm._FilterDatabase" localSheetId="6" hidden="1">'TSCD2025'!$A$3:$S$3</definedName>
    <definedName name="_xlnm._FilterDatabase" localSheetId="7" hidden="1">'so lieu'!$K$1:$P$87</definedName>
  </definedNames>
  <calcPr calcId="162913" fullCalcOnLoad="1"/>
</workbook>
</file>

<file path=xl/styles.xml><?xml version="1.0" encoding="utf-8"?>
<styleSheet xmlns="http://schemas.openxmlformats.org/spreadsheetml/2006/main">
  <numFmts count="123">
    <numFmt numFmtId="164" formatCode="_(* #,##0_);_(* \(#,##0\);_(* &quot;-&quot;??_);_(@_)"/>
    <numFmt numFmtId="165" formatCode="###\ ###\ ###\ ###\ ###\ ###\ ###"/>
    <numFmt numFmtId="166" formatCode="0_);\(0\)"/>
    <numFmt numFmtId="167" formatCode="_(* #,##0.0_);_(* \(#,##0.0\);_(* &quot;-&quot;?_);_(@_)"/>
    <numFmt numFmtId="168" formatCode="#,##0;\(#,##0\);"/>
    <numFmt numFmtId="169" formatCode="_-&quot;$&quot;* #,##0_-;\-&quot;$&quot;* #,##0_-;_-&quot;$&quot;* &quot;-&quot;_-;_-@_-"/>
    <numFmt numFmtId="170" formatCode="##.##%"/>
    <numFmt numFmtId="171" formatCode="0&quot;$&quot;000%"/>
    <numFmt numFmtId="172" formatCode="#,##0\ &quot;DM&quot;;\-#,##0\ &quot;DM&quot;"/>
    <numFmt numFmtId="173" formatCode="_(&quot;$&quot;* #,##0.00_);_(&quot;$&quot;* \(#,##0.00\);_(&quot;$&quot;* &quot;-&quot;??_);_(@_)"/>
    <numFmt numFmtId="174" formatCode="_-* ###,0&quot;$&quot;00_-;\-* ###,0&quot;$&quot;00_-;_-* &quot;-&quot;??_-;_-@_-"/>
    <numFmt numFmtId="175" formatCode="&quot;$&quot;#,##0_);[Red]\(&quot;$&quot;#,##0\)"/>
    <numFmt numFmtId="176" formatCode="_-* #,##0\ _F_-;\-* #,##0\ _F_-;_-* &quot;-&quot;\ _F_-;_-@_-"/>
    <numFmt numFmtId="177" formatCode="_ * #,##0_)\ &quot;$&quot;_ ;_ * \(#,##0\)\ &quot;$&quot;_ ;_ * &quot;-&quot;_)\ &quot;$&quot;_ ;_ @_ "/>
    <numFmt numFmtId="178" formatCode="_ * #,##0.00_)\ _$_ ;_ * \(#,##0.00\)\ _$_ ;_ * &quot;-&quot;??_)\ _$_ ;_ @_ "/>
    <numFmt numFmtId="179" formatCode="_ * #,##0_)\ _$_ ;_ * \(#,##0\)\ _$_ ;_ * &quot;-&quot;_)\ _$_ ;_ @_ "/>
    <numFmt numFmtId="180" formatCode="_ &quot;\&quot;* #,##0_ ;_ &quot;\&quot;* \-#,##0_ ;_ &quot;\&quot;* &quot;-&quot;_ ;_ @_ "/>
    <numFmt numFmtId="181" formatCode="#,##0.0000"/>
    <numFmt numFmtId="182" formatCode="#,##0.00000"/>
    <numFmt numFmtId="183" formatCode="#,##0.000000"/>
    <numFmt numFmtId="184" formatCode="_ &quot;\&quot;* ###,0&quot;$&quot;00_ ;_ &quot;\&quot;* \-###,0&quot;$&quot;00_ ;_ &quot;\&quot;* &quot;-&quot;??_ ;_ @_ "/>
    <numFmt numFmtId="185" formatCode="_ &quot;SFr.&quot;\ * #,##0_ ;_ &quot;SFr.&quot;\ * \-#,##0_ ;_ &quot;SFr.&quot;\ * &quot;-&quot;_ ;_ @_ "/>
    <numFmt numFmtId="186" formatCode="_ * #,##0_ ;_ * \-#,##0_ ;_ * &quot;-&quot;_ ;_ @_ "/>
    <numFmt numFmtId="187" formatCode="_ * ###,0&quot;$&quot;00_ ;_ * \-###,0&quot;$&quot;00_ ;_ * &quot;-&quot;??_ ;_ @_ "/>
    <numFmt numFmtId="188" formatCode="_ * #,##0.00_ ;_ * \-#,##0.00_ ;_ * &quot;-&quot;??_ ;_ @_ "/>
    <numFmt numFmtId="189" formatCode="0&quot;$&quot;000"/>
    <numFmt numFmtId="190" formatCode="#,##0.0_);\(#,##0.0\)"/>
    <numFmt numFmtId="191" formatCode="_(* #,##0.0000_);_(* \(#,##0.0000\);_(* &quot;-&quot;??_);_(@_)"/>
    <numFmt numFmtId="192" formatCode="0.0%;[Red]\(0.0%\)"/>
    <numFmt numFmtId="193" formatCode="_ * #,##0.00_)&quot;£&quot;_ ;_ * \(#,##0.00\)&quot;£&quot;_ ;_ * &quot;-&quot;??_)&quot;£&quot;_ ;_ @_ "/>
    <numFmt numFmtId="194" formatCode="_-&quot;$&quot;* #,##0.00_-;\-&quot;$&quot;* #,##0.00_-;_-&quot;$&quot;* &quot;-&quot;??_-;_-@_-"/>
    <numFmt numFmtId="195" formatCode="0.0%;\(0.0%\)"/>
    <numFmt numFmtId="196" formatCode="##,###.##"/>
    <numFmt numFmtId="197" formatCode="_-* #,##0.00\ &quot;F&quot;_-;\-* #,##0.00\ &quot;F&quot;_-;_-* &quot;-&quot;??\ &quot;F&quot;_-;_-@_-"/>
    <numFmt numFmtId="198" formatCode="#0.##"/>
    <numFmt numFmtId="199" formatCode="#,##0_)_%;\(#,##0\)_%;"/>
    <numFmt numFmtId="200" formatCode="mm/yyyy"/>
    <numFmt numFmtId="201" formatCode="_._.* #,##0.0_)_%;_._.* \(#,##0.0\)_%"/>
    <numFmt numFmtId="202" formatCode="#,##0.0_)_%;\(#,##0.0\)_%;\ \ .0_)_%"/>
    <numFmt numFmtId="203" formatCode="_._.* #,##0.00_)_%;_._.* \(#,##0.00\)_%"/>
    <numFmt numFmtId="204" formatCode="#,##0.00_)_%;\(#,##0.00\)_%;\ \ .00_)_%"/>
    <numFmt numFmtId="205" formatCode="_._.* #,##0.000_)_%;_._.* \(#,##0.000\)_%"/>
    <numFmt numFmtId="206" formatCode="#,##0.000_)_%;\(#,##0.000\)_%;\ \ .000_)_%"/>
    <numFmt numFmtId="207" formatCode="&quot;$&quot;#,##0_);\(&quot;$&quot;#,##0\)"/>
    <numFmt numFmtId="208" formatCode="#,##0;\(#,##0\)"/>
    <numFmt numFmtId="209" formatCode="_._.* \(#,##0\)_%;_._.* #,##0_)_%;_._.* 0_)_%;_._.@_)_%"/>
    <numFmt numFmtId="210" formatCode="_._.&quot;$&quot;* \(#,##0\)_%;_._.&quot;$&quot;* #,##0_)_%;_._.&quot;$&quot;* 0_)_%;_._.@_)_%"/>
    <numFmt numFmtId="211" formatCode="* \(#,##0\);* #,##0_);&quot;-&quot;??_);@"/>
    <numFmt numFmtId="212" formatCode="##,##0%"/>
    <numFmt numFmtId="213" formatCode="#,###%"/>
    <numFmt numFmtId="214" formatCode="##.##"/>
    <numFmt numFmtId="215" formatCode="###,###"/>
    <numFmt numFmtId="216" formatCode="###.###"/>
    <numFmt numFmtId="217" formatCode="##,###.####"/>
    <numFmt numFmtId="218" formatCode="_ * #,##0.00_ ;_ * &quot;\&quot;&quot;\&quot;&quot;\&quot;&quot;\&quot;&quot;\&quot;&quot;\&quot;\-#,##0.00_ ;_ * &quot;-&quot;??_ ;_ @_ "/>
    <numFmt numFmtId="219" formatCode="&quot;$&quot;* #,##0_)_%;&quot;$&quot;* \(#,##0\)_%;&quot;$&quot;* &quot;-&quot;??_)_%;@_)_%"/>
    <numFmt numFmtId="220" formatCode="&quot;\&quot;#,##0.00;&quot;\&quot;&quot;\&quot;&quot;\&quot;&quot;\&quot;&quot;\&quot;&quot;\&quot;&quot;\&quot;&quot;\&quot;\-#,##0.00"/>
    <numFmt numFmtId="221" formatCode="_._.&quot;$&quot;* #,##0.0_)_%;_._.&quot;$&quot;* \(#,##0.0\)_%"/>
    <numFmt numFmtId="222" formatCode="&quot;$&quot;* #,##0.0_)_%;&quot;$&quot;* \(#,##0.0\)_%;&quot;$&quot;* \ .0_)_%"/>
    <numFmt numFmtId="223" formatCode="_._.&quot;$&quot;* #,##0.00_)_%;_._.&quot;$&quot;* \(#,##0.00\)_%"/>
    <numFmt numFmtId="224" formatCode="&quot;$&quot;* #,##0.00_)_%;&quot;$&quot;* \(#,##0.00\)_%;&quot;$&quot;* \ .00_)_%"/>
    <numFmt numFmtId="225" formatCode="_._.&quot;$&quot;* #,##0.000_)_%;_._.&quot;$&quot;* \(#,##0.000\)_%"/>
    <numFmt numFmtId="226" formatCode="&quot;$&quot;* #,##0.000_)_%;&quot;$&quot;* \(#,##0.000\)_%;&quot;$&quot;* \ .000_)_%"/>
    <numFmt numFmtId="227" formatCode="_ * #,##0_ ;_ * &quot;\&quot;&quot;\&quot;&quot;\&quot;&quot;\&quot;&quot;\&quot;&quot;\&quot;\-#,##0_ ;_ * &quot;-&quot;_ ;_ @_ "/>
    <numFmt numFmtId="228" formatCode="\$#,##0\ ;\(\$#,##0\)"/>
    <numFmt numFmtId="229" formatCode="\t0.00%"/>
    <numFmt numFmtId="230" formatCode="##,##0.##"/>
    <numFmt numFmtId="231" formatCode="* #,##0_);* \(#,##0\);&quot;-&quot;??_);@"/>
    <numFmt numFmtId="232" formatCode="\U\S\$#,##0.00;\(\U\S\$#,##0.00\)"/>
    <numFmt numFmtId="233" formatCode="\t#\ ??/??"/>
    <numFmt numFmtId="234" formatCode="_(* ###,0&quot;$&quot;00_);_(* \(###,0&quot;$&quot;00\);_(* &quot;-&quot;??_);_(@_)"/>
    <numFmt numFmtId="235" formatCode="_-&quot;VND&quot;* #,##0_-;\-&quot;VND&quot;* #,##0_-;_-&quot;VND&quot;* &quot;-&quot;_-;_-@_-"/>
    <numFmt numFmtId="236" formatCode="_(&quot;Rp&quot;* ###,0&quot;$&quot;00_);_(&quot;Rp&quot;* \(###,0&quot;$&quot;00\);_(&quot;Rp&quot;* &quot;-&quot;??_);_(@_)"/>
    <numFmt numFmtId="237" formatCode="###,0&quot;$&quot;00\ &quot;FB&quot;;[Red]\-###,0&quot;$&quot;00\ &quot;FB&quot;"/>
    <numFmt numFmtId="238" formatCode="_-* #,##0\ _₫_-;\-* #,##0\ _₫_-;_-* &quot;-&quot;\ _₫_-;_-@_-"/>
    <numFmt numFmtId="239" formatCode="#,##0\ &quot;$&quot;;\-#,##0\ &quot;$&quot;"/>
    <numFmt numFmtId="240" formatCode="&quot;$&quot;#,##0;\-&quot;$&quot;#,##0"/>
    <numFmt numFmtId="241" formatCode="_-* #,##0\ _F_B_-;\-* #,##0\ _F_B_-;_-* &quot;-&quot;\ _F_B_-;_-@_-"/>
    <numFmt numFmtId="242" formatCode="_-* ###,0&quot;$&quot;00\ _₫_-;\-* ###,0&quot;$&quot;00\ _₫_-;_-* &quot;-&quot;??\ _₫_-;_-@_-"/>
    <numFmt numFmtId="243" formatCode="_([$€-2]* #,##0.00_);_([$€-2]* \(#,##0.00\);_([$€-2]* &quot;-&quot;??_)"/>
    <numFmt numFmtId="244" formatCode="#,##0;\(#,##0\);&quot;-&quot;"/>
    <numFmt numFmtId="245" formatCode="0."/>
    <numFmt numFmtId="246" formatCode=";;;"/>
    <numFmt numFmtId="247" formatCode="#,##0\ &quot;$&quot;_);\(#,##0\ &quot;$&quot;\)"/>
    <numFmt numFmtId="248" formatCode="#,###"/>
    <numFmt numFmtId="249" formatCode="#,##0\ &quot;$&quot;_);[Red]\(#,##0\ &quot;$&quot;\)"/>
    <numFmt numFmtId="250" formatCode="&quot;$&quot;###,0&quot;$&quot;00_);[Red]\(&quot;$&quot;###,0&quot;$&quot;00\)"/>
    <numFmt numFmtId="251" formatCode="d\.m\.yy"/>
    <numFmt numFmtId="252" formatCode="d\.mmm\.yy"/>
    <numFmt numFmtId="253" formatCode="*x"/>
    <numFmt numFmtId="254" formatCode="0_)%;\(0\)%"/>
    <numFmt numFmtId="255" formatCode="_._._(* 0_)%;_._.* \(0\)%"/>
    <numFmt numFmtId="256" formatCode="_(0_)%;\(0\)%"/>
    <numFmt numFmtId="257" formatCode="0%_);\(0%\)"/>
    <numFmt numFmtId="258" formatCode="#,##0.000_);\(#,##0.000\)"/>
    <numFmt numFmtId="259" formatCode="_(0.0_)%;\(0.0\)%"/>
    <numFmt numFmtId="260" formatCode="_._._(* 0.0_)%;_._.* \(0.0\)%"/>
    <numFmt numFmtId="261" formatCode="_(0.00_)%;\(0.00\)%"/>
    <numFmt numFmtId="262" formatCode="_._._(* 0.00_)%;_._.* \(0.00\)%"/>
    <numFmt numFmtId="263" formatCode="_(0.000_)%;\(0.000\)%"/>
    <numFmt numFmtId="264" formatCode="_._._(* 0.000_)%;_._.* \(0.000\)%"/>
    <numFmt numFmtId="265" formatCode="#,##0&quot;£&quot;_);[Red]\(#,##0&quot;£&quot;\)"/>
    <numFmt numFmtId="266" formatCode="#,##0.00\ &quot;F&quot;;[Red]\-#,##0.00\ &quot;F&quot;"/>
    <numFmt numFmtId="267" formatCode="&quot;\&quot;#,##0;[Red]\-&quot;\&quot;#,##0"/>
    <numFmt numFmtId="268" formatCode="_(&quot;€&quot;* #,##0.00_);_(&quot;€&quot;* \(#,##0.00\);_(&quot;€&quot;* &quot;-&quot;??_);_(@_)"/>
    <numFmt numFmtId="269" formatCode="0&quot;$&quot;00000"/>
    <numFmt numFmtId="270" formatCode="###,0&quot;$&quot;00\ \ "/>
    <numFmt numFmtId="271" formatCode="#,##0.00\ \ "/>
    <numFmt numFmtId="272" formatCode="_ * #,##0_ ;_ * \-#,##0_ ;_ * &quot;-&quot;??_ ;_ @_ "/>
    <numFmt numFmtId="273" formatCode="&quot;$&quot;#,##0;[Red]\-&quot;$&quot;#,##0"/>
    <numFmt numFmtId="274" formatCode="#,##0.00\ \ \ \ "/>
    <numFmt numFmtId="275" formatCode="#,##0\ &quot;F&quot;;\-#,##0\ &quot;F&quot;"/>
    <numFmt numFmtId="276" formatCode="#,##0\ &quot;F&quot;;[Red]\-#,##0\ &quot;F&quot;"/>
    <numFmt numFmtId="277" formatCode="0000"/>
    <numFmt numFmtId="278" formatCode="00"/>
    <numFmt numFmtId="279" formatCode="000"/>
    <numFmt numFmtId="280" formatCode="&quot;£&quot;###,0&quot;$&quot;00;\-&quot;£&quot;###,0&quot;$&quot;00"/>
    <numFmt numFmtId="281" formatCode="&quot;£&quot;###,0&quot;$&quot;00;[Red]\-&quot;£&quot;###,0&quot;$&quot;00"/>
    <numFmt numFmtId="282" formatCode="_-* #,##0\ &quot;DM&quot;_-;\-* #,##0\ &quot;DM&quot;_-;_-* &quot;-&quot;\ &quot;DM&quot;_-;_-@_-"/>
    <numFmt numFmtId="283" formatCode="_-* #,##0.00\ &quot;DM&quot;_-;\-* #,##0.00\ &quot;DM&quot;_-;_-* &quot;-&quot;??\ &quot;DM&quot;_-;_-@_-"/>
    <numFmt numFmtId="284" formatCode="_(&quot;$&quot;* ###,0&quot;$&quot;00_);_(&quot;$&quot;* \(###,0&quot;$&quot;00\);_(&quot;$&quot;* &quot;-&quot;??_);_(@_)"/>
    <numFmt numFmtId="285" formatCode="_-&quot;F&quot;* #,##0_-;\-&quot;F&quot;* #,##0_-;_-&quot;F&quot;* &quot;-&quot;_-;_-@_-"/>
    <numFmt numFmtId="286" formatCode="_-&quot;F&quot;* ###,0&quot;$&quot;00_-;\-&quot;F&quot;* ###,0&quot;$&quot;00_-;_-&quot;F&quot;* &quot;-&quot;??_-;_-@_-"/>
  </numFmts>
  <fonts count="214">
    <font>
      <name val="Calibri"/>
      <family val="2"/>
      <color theme="1"/>
      <sz val="11"/>
      <scheme val="minor"/>
    </font>
    <font>
      <name val="Times New Roman"/>
      <family val="1"/>
      <b val="1"/>
      <sz val="12"/>
    </font>
    <font>
      <name val="Times New Roman"/>
      <family val="1"/>
      <sz val="12"/>
    </font>
    <font>
      <name val="Tahoma"/>
      <family val="2"/>
      <b val="1"/>
      <color indexed="81"/>
      <sz val="8"/>
    </font>
    <font>
      <name val="Tahoma"/>
      <family val="2"/>
      <color indexed="81"/>
      <sz val="8"/>
    </font>
    <font>
      <name val="Times New Roman"/>
      <family val="1"/>
      <b val="1"/>
      <sz val="10"/>
    </font>
    <font>
      <name val="Times New Roman"/>
      <family val="1"/>
      <b val="1"/>
      <i val="1"/>
      <sz val="11"/>
    </font>
    <font>
      <name val="Times New Roman"/>
      <family val="1"/>
      <sz val="13"/>
    </font>
    <font>
      <name val="Times New Roman"/>
      <family val="1"/>
      <b val="1"/>
      <sz val="13"/>
    </font>
    <font>
      <name val="Times New Roman"/>
      <family val="1"/>
      <b val="1"/>
      <i val="1"/>
      <sz val="13"/>
    </font>
    <font>
      <name val="Times New Roman"/>
      <family val="1"/>
      <b val="1"/>
      <color indexed="8"/>
      <sz val="12"/>
    </font>
    <font>
      <name val="Times New Roman"/>
      <family val="1"/>
      <color indexed="8"/>
      <sz val="12"/>
    </font>
    <font>
      <name val="Times New Roman"/>
      <family val="1"/>
      <i val="1"/>
      <color indexed="8"/>
      <sz val="12"/>
    </font>
    <font>
      <name val="Times New Roman"/>
      <family val="1"/>
      <b val="1"/>
      <i val="1"/>
      <color indexed="8"/>
      <sz val="12"/>
    </font>
    <font>
      <name val="Times New Roman"/>
      <family val="1"/>
      <b val="1"/>
      <sz val="11"/>
    </font>
    <font>
      <name val="Arial"/>
      <family val="2"/>
      <b val="1"/>
      <sz val="10"/>
    </font>
    <font>
      <name val="Calibri"/>
      <family val="2"/>
      <color theme="1"/>
      <sz val="11"/>
      <scheme val="minor"/>
    </font>
    <font>
      <name val="Calibri"/>
      <family val="2"/>
      <b val="1"/>
      <color theme="1"/>
      <sz val="11"/>
      <scheme val="minor"/>
    </font>
    <font>
      <name val="Times New Roman"/>
      <family val="1"/>
      <color theme="1"/>
      <sz val="12"/>
    </font>
    <font>
      <name val="Times New Roman"/>
      <family val="1"/>
      <b val="1"/>
      <color theme="1"/>
      <sz val="12"/>
    </font>
    <font>
      <name val="Times New Roman"/>
      <family val="1"/>
      <b val="1"/>
      <i val="1"/>
      <color theme="1"/>
      <sz val="12"/>
    </font>
    <font>
      <name val="Times New Roman"/>
      <family val="1"/>
      <color theme="1"/>
      <sz val="11"/>
    </font>
    <font>
      <name val="Times New Roman"/>
      <family val="1"/>
      <b val="1"/>
      <color theme="1"/>
      <sz val="11"/>
    </font>
    <font>
      <name val="Times New Roman"/>
      <family val="1"/>
      <b val="1"/>
      <i val="1"/>
      <color theme="1"/>
      <sz val="11"/>
    </font>
    <font>
      <name val="Calibri"/>
      <family val="2"/>
      <sz val="11"/>
      <scheme val="minor"/>
    </font>
    <font>
      <name val="Times New Roman"/>
      <family val="1"/>
      <i val="1"/>
      <color theme="1"/>
      <sz val="11"/>
    </font>
    <font>
      <name val="Times New Roman"/>
      <family val="1"/>
      <sz val="11"/>
    </font>
    <font>
      <name val="Times New Roman"/>
      <family val="1"/>
      <i val="1"/>
      <sz val="11"/>
    </font>
    <font>
      <name val="Calibri"/>
      <family val="2"/>
      <b val="1"/>
      <sz val="11"/>
      <scheme val="minor"/>
    </font>
    <font>
      <name val="Times New Roman"/>
      <family val="1"/>
      <color indexed="8"/>
      <sz val="11"/>
      <vertAlign val="superscript"/>
    </font>
    <font>
      <name val="Times New Roman"/>
      <family val="1"/>
      <color rgb="FF000000"/>
      <sz val="12"/>
    </font>
    <font>
      <name val="Times New Roman"/>
      <family val="1"/>
      <b val="1"/>
      <color rgb="FF000000"/>
      <sz val="12"/>
    </font>
    <font>
      <name val="Times New Roman"/>
      <family val="1"/>
      <color rgb="FF000000"/>
      <sz val="11"/>
    </font>
    <font>
      <name val="Times New Roman"/>
      <family val="1"/>
      <i val="1"/>
      <color rgb="FF000000"/>
      <sz val="11"/>
    </font>
    <font>
      <name val="Times New Roman"/>
      <family val="1"/>
      <color rgb="FFC00000"/>
      <sz val="11"/>
    </font>
    <font>
      <name val=".VnTime"/>
      <family val="2"/>
      <sz val="12"/>
    </font>
    <font>
      <name val="Times New Roman"/>
      <family val="1"/>
      <sz val="10"/>
    </font>
    <font>
      <name val="Arial"/>
      <family val="2"/>
      <sz val="10"/>
    </font>
    <font>
      <name val="VNI-Times"/>
      <sz val="12"/>
    </font>
    <font>
      <name val="SVNtimes new roman"/>
      <family val="2"/>
      <b val="1"/>
      <sz val="10"/>
    </font>
    <font>
      <name val="VNtimes new roman"/>
      <sz val="12"/>
    </font>
    <font>
      <name val="??"/>
      <family val="3"/>
      <sz val="11"/>
    </font>
    <font>
      <name val="?? ??"/>
      <charset val="136"/>
      <family val="1"/>
      <sz val="10"/>
    </font>
    <font>
      <name val="AngsanaUPC"/>
      <family val="3"/>
      <sz val="16"/>
    </font>
    <font>
      <name val="????"/>
      <charset val="136"/>
      <family val="1"/>
      <sz val="12"/>
    </font>
    <font>
      <name val="Courier"/>
      <family val="3"/>
      <sz val="12"/>
    </font>
    <font>
      <name val="???"/>
      <charset val="129"/>
      <family val="1"/>
      <sz val="12"/>
    </font>
    <font>
      <name val="|??¢¥¢¬¨Ï"/>
      <charset val="129"/>
      <family val="1"/>
      <sz val="12"/>
    </font>
    <font>
      <name val="MS Sans Serif"/>
      <family val="2"/>
      <sz val="10"/>
    </font>
    <font>
      <name val=".VnTime"/>
      <family val="2"/>
      <sz val="10"/>
    </font>
    <font>
      <name val="Helv"/>
      <family val="2"/>
      <sz val="10"/>
    </font>
    <font>
      <name val="Helv"/>
      <charset val="204"/>
      <sz val="10"/>
    </font>
    <font>
      <name val="VNI-Times"/>
      <sz val="10"/>
    </font>
    <font>
      <name val="Arial"/>
      <family val="2"/>
      <color indexed="8"/>
      <sz val="10"/>
    </font>
    <font>
      <name val="???"/>
      <sz val="12"/>
    </font>
    <font>
      <name val="3C_Times_T"/>
      <sz val="11"/>
    </font>
    <font>
      <name val="Terminal"/>
      <charset val="128"/>
      <family val="3"/>
      <sz val="14"/>
    </font>
    <font>
      <name val="–¾’©"/>
      <charset val="128"/>
      <family val="1"/>
      <sz val="11"/>
    </font>
    <font>
      <name val="VnTime"/>
      <sz val="14"/>
    </font>
    <font>
      <name val="VnTimes"/>
      <family val="2"/>
      <sz val="10"/>
    </font>
    <font>
      <name val="¹ÙÅÁÃ¼"/>
      <charset val="129"/>
      <family val="1"/>
      <color indexed="8"/>
      <sz val="12"/>
    </font>
    <font>
      <name val=".VnBook-AntiquaH"/>
      <family val="2"/>
      <i val="1"/>
      <color indexed="8"/>
      <sz val="12"/>
    </font>
    <font>
      <name val=".VnTime"/>
      <family val="2"/>
      <b val="1"/>
      <sz val="12"/>
    </font>
    <font>
      <name val=".VnBook-Antiqua"/>
      <family val="2"/>
      <b val="1"/>
      <color indexed="8"/>
      <sz val="12"/>
    </font>
    <font>
      <name val=".VnBook-Antiqua"/>
      <family val="2"/>
      <i val="1"/>
      <color indexed="8"/>
      <sz val="12"/>
    </font>
    <font>
      <name val=".VnTime"/>
      <family val="2"/>
      <sz val="14"/>
    </font>
    <font>
      <name val="±¼¸²Ã¼"/>
      <charset val="129"/>
      <family val="3"/>
      <sz val="11"/>
    </font>
    <font>
      <name val="¹UAAA¼"/>
      <charset val="129"/>
      <family val="3"/>
      <sz val="12"/>
    </font>
    <font>
      <name val="¹ÙÅÁÃ¼"/>
      <charset val="129"/>
      <sz val="12"/>
    </font>
    <font>
      <name val="µ¸¿ò"/>
      <charset val="129"/>
      <sz val="11"/>
    </font>
    <font>
      <name val="±¼¸²A¼"/>
      <charset val="129"/>
      <family val="3"/>
      <sz val="10"/>
    </font>
    <font>
      <name val="Helv"/>
      <sz val="10"/>
    </font>
    <font>
      <name val="Helv"/>
      <family val="2"/>
      <b val="1"/>
      <sz val="10"/>
    </font>
    <font>
      <name val="Arial"/>
      <family val="2"/>
      <b val="1"/>
      <color indexed="12"/>
      <sz val="8"/>
    </font>
    <font>
      <name val="Arial"/>
      <family val="2"/>
      <color indexed="8"/>
      <sz val="8"/>
    </font>
    <font>
      <name val="Arial"/>
      <family val="2"/>
      <b val="1"/>
      <sz val="11"/>
    </font>
    <font>
      <name val="SVNtimes new roman"/>
      <family val="2"/>
      <sz val="8"/>
    </font>
    <font>
      <name val=".VnArial"/>
      <family val="2"/>
      <sz val="10"/>
    </font>
    <font>
      <name val="VNI-Aptima"/>
      <sz val="10"/>
    </font>
    <font>
      <name val="Arial"/>
      <family val="2"/>
      <b val="1"/>
      <sz val="8"/>
    </font>
    <font>
      <name val="Arial"/>
      <family val="2"/>
      <sz val="9"/>
    </font>
    <font>
      <name val="Times New Roman"/>
      <family val="1"/>
      <sz val="11"/>
      <u val="singleAccounting"/>
    </font>
    <font>
      <name val="Calibri"/>
      <family val="2"/>
      <color indexed="8"/>
      <sz val="11"/>
    </font>
    <font>
      <name val="Times New Roman"/>
      <family val="1"/>
      <b val="1"/>
      <sz val="16"/>
    </font>
    <font>
      <name val="VNTime"/>
      <family val="2"/>
      <b val="1"/>
      <sz val="12"/>
    </font>
    <font>
      <name val="MS Serif"/>
      <family val="1"/>
      <sz val="10"/>
    </font>
    <font>
      <name val="Times New Roman"/>
      <family val="1"/>
      <color indexed="12"/>
      <sz val="11"/>
    </font>
    <font>
      <name val="VNcentury Gothic"/>
      <sz val="11"/>
    </font>
    <font>
      <name val="VNcentury Gothic"/>
      <b val="1"/>
      <sz val="15"/>
    </font>
    <font>
      <name val="SVNtimes new roman"/>
      <family val="2"/>
      <sz val="12"/>
    </font>
    <font>
      <name val="???"/>
      <charset val="129"/>
      <family val="3"/>
      <sz val="12"/>
    </font>
    <font>
      <name val="SVNtimes new roman"/>
      <sz val="10"/>
    </font>
    <font>
      <name val="Arial"/>
      <family val="2"/>
      <sz val="12"/>
    </font>
    <font>
      <name val="VNTimeH"/>
      <family val="2"/>
      <b val="1"/>
      <sz val="12"/>
    </font>
    <font>
      <name val="Arial CE"/>
      <charset val="238"/>
      <sz val="10"/>
    </font>
    <font>
      <name val="MS Serif"/>
      <family val="1"/>
      <color indexed="16"/>
      <sz val="10"/>
    </font>
    <font>
      <name val="Verdana"/>
      <family val="2"/>
      <sz val="8"/>
    </font>
    <font>
      <name val="Arial"/>
      <family val="2"/>
      <b val="1"/>
      <sz val="16"/>
    </font>
    <font>
      <name val="Times New Roman"/>
      <family val="1"/>
      <color indexed="24"/>
      <sz val="18"/>
    </font>
    <font>
      <name val="Times New Roman"/>
      <family val="1"/>
      <color indexed="24"/>
      <sz val="8"/>
    </font>
    <font>
      <name val="Times New Roman"/>
      <family val="1"/>
      <i val="1"/>
      <color indexed="24"/>
      <sz val="12"/>
    </font>
    <font>
      <name val="Arial"/>
      <family val="2"/>
      <color indexed="24"/>
      <sz val="12"/>
    </font>
    <font>
      <name val="Times New Roman"/>
      <family val="1"/>
      <color indexed="24"/>
      <sz val="12"/>
    </font>
    <font>
      <name val="Arial"/>
      <family val="2"/>
      <color indexed="24"/>
      <sz val="8"/>
    </font>
    <font>
      <name val="Arial"/>
      <family val="2"/>
      <i val="1"/>
      <color indexed="24"/>
      <sz val="12"/>
    </font>
    <font>
      <name val="VNTime"/>
      <family val="2"/>
      <sz val="12"/>
    </font>
    <font>
      <name val="Arial"/>
      <family val="2"/>
      <sz val="8"/>
    </font>
    <font>
      <name val=".VnBook-AntiquaH"/>
      <family val="2"/>
      <b val="1"/>
      <sz val="12"/>
    </font>
    <font>
      <name val="Helv"/>
      <family val="2"/>
      <b val="1"/>
      <sz val="12"/>
    </font>
    <font>
      <name val="Arial"/>
      <family val="2"/>
      <b val="1"/>
      <sz val="12"/>
    </font>
    <font>
      <name val="Tahoma"/>
      <family val="2"/>
      <b val="1"/>
      <sz val="12"/>
    </font>
    <font>
      <name val="Arial"/>
      <family val="2"/>
      <b val="1"/>
      <sz val="18"/>
    </font>
    <font>
      <name val=".VnTime"/>
      <family val="2"/>
      <b val="1"/>
      <sz val="10"/>
    </font>
    <font>
      <name val="Arial"/>
      <family val="2"/>
      <sz val="11"/>
    </font>
    <font>
      <name val=".VnTimeH"/>
      <family val="2"/>
      <b val="1"/>
      <sz val="14"/>
    </font>
    <font>
      <name val="±¼¸²Ã¼"/>
      <charset val="129"/>
      <family val="3"/>
      <sz val="12"/>
    </font>
    <font>
      <name val="Tahoma"/>
      <family val="2"/>
      <sz val="10"/>
    </font>
    <font>
      <name val="Helv"/>
      <color indexed="12"/>
      <sz val="8"/>
    </font>
    <font>
      <name val=".VnArial Narrow"/>
      <family val="2"/>
      <sz val="10"/>
    </font>
    <font>
      <name val="Helv"/>
      <family val="2"/>
      <b val="1"/>
      <sz val="11"/>
    </font>
    <font>
      <name val=".VnAvant"/>
      <family val="2"/>
      <sz val="10"/>
    </font>
    <font>
      <name val="Small Fonts"/>
      <family val="2"/>
      <sz val="7"/>
    </font>
    <font>
      <name val="VN-NTime"/>
      <family val="2"/>
      <b val="1"/>
      <sz val="12"/>
    </font>
    <font>
      <name val="Helv"/>
      <family val="2"/>
      <b val="1"/>
      <i val="1"/>
      <sz val="16"/>
    </font>
    <font>
      <name val="바탕체"/>
      <charset val="129"/>
      <family val="1"/>
      <sz val="12"/>
    </font>
    <font>
      <name val=".VnTime"/>
      <family val="2"/>
      <color indexed="8"/>
      <sz val="13.5"/>
    </font>
    <font>
      <name val="Arial MT"/>
      <sz val="11"/>
    </font>
    <font>
      <name val=".VnTime"/>
      <family val="2"/>
      <sz val="13"/>
    </font>
    <font>
      <name val="Helv"/>
      <family val="2"/>
      <sz val="12"/>
    </font>
    <font>
      <name val="Arial"/>
      <family val="2"/>
      <color indexed="9"/>
      <sz val="10"/>
    </font>
    <font>
      <name val="MS Sans Serif"/>
      <family val="2"/>
      <b val="1"/>
      <sz val="10"/>
    </font>
    <font>
      <name val="Arial"/>
      <family val="2"/>
      <b val="1"/>
      <color indexed="8"/>
      <sz val="12"/>
    </font>
    <font>
      <name val="Arial"/>
      <family val="2"/>
      <b val="1"/>
      <i val="1"/>
      <color indexed="8"/>
      <sz val="12"/>
    </font>
    <font>
      <name val="Arial"/>
      <family val="2"/>
      <color indexed="8"/>
      <sz val="12"/>
    </font>
    <font>
      <name val="Arial"/>
      <family val="2"/>
      <i val="1"/>
      <color indexed="8"/>
      <sz val="12"/>
    </font>
    <font>
      <name val="Arial"/>
      <family val="2"/>
      <color indexed="48"/>
      <sz val="19"/>
    </font>
    <font>
      <name val="Arial"/>
      <family val="2"/>
      <color indexed="14"/>
      <sz val="12"/>
    </font>
    <font>
      <name val="VNI-Times"/>
      <color indexed="32"/>
      <sz val="11"/>
    </font>
    <font>
      <name val="Tahoma"/>
      <family val="2"/>
      <b val="1"/>
      <sz val="10"/>
    </font>
    <font>
      <name val="Helv"/>
      <family val="2"/>
      <b val="1"/>
      <color indexed="8"/>
      <sz val="8"/>
    </font>
    <font>
      <name val="Symbol"/>
      <charset val="2"/>
      <family val="1"/>
      <sz val="10"/>
    </font>
    <font>
      <name val=".VnArial"/>
      <family val="2"/>
      <sz val="13"/>
    </font>
    <font>
      <name val="VNI-Times"/>
      <sz val="11"/>
    </font>
    <font>
      <name val="VNI-Univer"/>
      <b val="1"/>
      <sz val="10"/>
    </font>
    <font>
      <name val=".VnArial"/>
      <family val="2"/>
      <sz val="12"/>
    </font>
    <font>
      <name val="VNTime"/>
      <sz val="12"/>
    </font>
    <font>
      <name val="Arial"/>
      <family val="2"/>
      <b val="1"/>
      <color indexed="10"/>
      <sz val="10"/>
    </font>
    <font>
      <name val="VNtimes new roman"/>
      <sz val="10"/>
    </font>
    <font>
      <name val="MS Sans Serif"/>
      <family val="2"/>
      <color indexed="8"/>
      <sz val="10"/>
    </font>
    <font>
      <name val="VnTime"/>
      <family val="2"/>
      <sz val="14"/>
    </font>
    <font>
      <name val="VN Helvetica"/>
      <b val="1"/>
      <sz val="8"/>
    </font>
    <font>
      <name val="VN AvantGBook"/>
      <b val="1"/>
      <sz val="10"/>
    </font>
    <font>
      <name val="VN Helvetica"/>
      <b val="1"/>
      <sz val="10"/>
    </font>
    <font>
      <name val=".VnTime"/>
      <family val="2"/>
      <b val="1"/>
      <sz val="16"/>
    </font>
    <font>
      <name val="VN Helvetica"/>
      <sz val="10"/>
    </font>
    <font>
      <name val="VN Helvetica"/>
      <sz val="8"/>
    </font>
    <font>
      <name val="lr ¾©"/>
      <charset val="128"/>
      <sz val="11"/>
    </font>
    <font>
      <name val="Geneva"/>
      <family val="2"/>
      <sz val="10"/>
    </font>
    <font>
      <name val=".VnArial"/>
      <family val="2"/>
      <sz val="14"/>
    </font>
    <font>
      <name val="뼻뮝"/>
      <charset val="129"/>
      <family val="3"/>
      <sz val="14"/>
    </font>
    <font>
      <name val="바탕체"/>
      <family val="3"/>
      <color indexed="8"/>
      <sz val="12"/>
    </font>
    <font>
      <name val="뼻뮝"/>
      <charset val="129"/>
      <family val="1"/>
      <sz val="12"/>
    </font>
    <font>
      <name val="굴림체"/>
      <charset val="129"/>
      <family val="3"/>
      <sz val="10"/>
    </font>
    <font>
      <name val="돋움체"/>
      <charset val="129"/>
      <family val="3"/>
      <sz val="10"/>
    </font>
    <font>
      <name val="柧挬"/>
      <family val="2"/>
      <sz val="11"/>
    </font>
    <font>
      <name val=".VnArial"/>
      <family val="1"/>
      <sz val="10"/>
    </font>
    <font>
      <name val="ＭＳ Ｐゴシック"/>
      <charset val="128"/>
      <family val="3"/>
      <sz val="9"/>
    </font>
    <font>
      <name val=" "/>
      <charset val="136"/>
      <family val="1"/>
      <sz val="10"/>
    </font>
    <font>
      <name val="Tahoma"/>
      <family val="2"/>
      <color indexed="81"/>
      <sz val="9"/>
    </font>
    <font>
      <name val="Tahoma"/>
      <family val="2"/>
      <b val="1"/>
      <color indexed="81"/>
      <sz val="9"/>
    </font>
    <font>
      <name val="Times New Roman"/>
      <family val="1"/>
      <color rgb="FFFF0000"/>
      <sz val="11"/>
    </font>
    <font>
      <name val="Times New Roman"/>
      <family val="1"/>
      <color rgb="FF0070C0"/>
      <sz val="11"/>
    </font>
    <font>
      <name val="Times New Roman"/>
      <family val="1"/>
      <b val="1"/>
      <sz val="11"/>
      <u val="single"/>
    </font>
    <font>
      <name val="Times New Roman"/>
      <family val="1"/>
      <b val="1"/>
      <color rgb="FF000000"/>
      <sz val="11"/>
    </font>
    <font>
      <name val="Times New Roman"/>
      <family val="1"/>
      <b val="1"/>
      <i val="1"/>
      <color rgb="FF000000"/>
      <sz val="11"/>
    </font>
    <font>
      <name val="Calibri"/>
      <family val="2"/>
      <b val="1"/>
      <color theme="0"/>
      <sz val="11"/>
      <scheme val="minor"/>
    </font>
    <font>
      <name val="Calibri"/>
      <family val="2"/>
      <color theme="0"/>
      <sz val="11"/>
      <scheme val="minor"/>
    </font>
    <font>
      <name val="Times New Roman"/>
      <family val="1"/>
      <color theme="0"/>
      <sz val="11"/>
    </font>
    <font>
      <name val="Times New Roman"/>
      <family val="1"/>
      <b val="1"/>
      <color theme="0"/>
      <sz val="11"/>
    </font>
    <font>
      <name val="Times New Roman"/>
      <family val="1"/>
      <b val="1"/>
      <i val="1"/>
      <color theme="0"/>
      <sz val="11"/>
    </font>
    <font>
      <name val="Times New Roman"/>
      <family val="1"/>
      <color theme="0"/>
      <sz val="12"/>
    </font>
    <font>
      <name val="Calibri Light"/>
      <family val="2"/>
      <color theme="0"/>
      <sz val="12"/>
    </font>
    <font>
      <name val="Calibri Light"/>
      <family val="2"/>
      <b val="1"/>
      <color theme="0"/>
      <sz val="12"/>
    </font>
    <font>
      <name val="Times New Roman"/>
      <family val="1"/>
      <color rgb="FF000000"/>
      <sz val="9"/>
    </font>
    <font>
      <name val="Calibri"/>
      <family val="2"/>
      <color rgb="FFFF0000"/>
      <sz val="11"/>
      <scheme val="minor"/>
    </font>
    <font>
      <name val="Times New Roman"/>
      <family val="1"/>
      <b val="1"/>
      <color rgb="FFFF0000"/>
      <sz val="11"/>
    </font>
    <font>
      <name val="Times New Roman"/>
      <family val="1"/>
      <b val="1"/>
      <color theme="1"/>
      <sz val="14"/>
    </font>
    <font>
      <name val="Microsoft Sans Serif"/>
      <family val="2"/>
      <color rgb="FF000000"/>
      <sz val="8"/>
    </font>
    <font>
      <name val="Microsoft Sans Serif"/>
      <family val="2"/>
      <sz val="8"/>
    </font>
    <font>
      <name val="Arial"/>
      <family val="2"/>
      <b val="1"/>
      <color rgb="FFFFFFFF"/>
      <sz val="9"/>
    </font>
    <font>
      <name val="Arial"/>
      <family val="2"/>
      <color rgb="FF000000"/>
      <sz val="9"/>
    </font>
    <font>
      <name val="Times New Roman"/>
      <family val="1"/>
      <color rgb="FF000000"/>
      <sz val="10"/>
    </font>
    <font>
      <name val="Times New Roman"/>
      <family val="1"/>
      <color rgb="FF00B0F0"/>
      <sz val="10"/>
    </font>
    <font>
      <name val="Times New Roman"/>
      <family val="1"/>
      <color rgb="FFFF0000"/>
      <sz val="12"/>
    </font>
    <font>
      <name val="Arial"/>
      <family val="2"/>
      <color rgb="FF333333"/>
      <sz val="9"/>
    </font>
    <font>
      <name val="Times New Roman"/>
      <family val="2"/>
      <color theme="1"/>
      <sz val="12"/>
    </font>
    <font>
      <name val="Times New Roman"/>
      <family val="1"/>
      <b val="1"/>
      <color rgb="FF000000"/>
      <sz val="16"/>
    </font>
    <font>
      <name val="Times New Roman"/>
      <family val="1"/>
      <b val="1"/>
      <i val="1"/>
      <color rgb="FF000000"/>
      <sz val="12"/>
    </font>
    <font>
      <name val="Times New Roman"/>
      <family val="1"/>
      <i val="1"/>
      <color rgb="FF000000"/>
      <sz val="12"/>
    </font>
    <font>
      <name val="Times New Roman"/>
      <family val="1"/>
      <b val="1"/>
      <color rgb="FF000000"/>
      <sz val="10"/>
    </font>
    <font>
      <name val="Arial Narrow"/>
      <family val="2"/>
      <b val="1"/>
      <color rgb="FF000000"/>
      <sz val="9"/>
    </font>
    <font>
      <name val="Arial Narrow"/>
      <family val="2"/>
      <color rgb="FF000000"/>
      <sz val="9"/>
    </font>
    <font>
      <name val="Times New Roman"/>
      <family val="1"/>
      <color rgb="FF808080"/>
      <sz val="5"/>
    </font>
    <font>
      <name val="Segoe UI"/>
      <b val="1"/>
      <color rgb="00FFFFFF"/>
      <sz val="14"/>
    </font>
    <font>
      <name val="Segoe UI"/>
      <b val="1"/>
      <color rgb="001B365D"/>
      <sz val="11"/>
    </font>
    <font>
      <name val="Segoe UI"/>
      <i val="1"/>
      <sz val="10"/>
    </font>
    <font>
      <name val="Segoe UI"/>
      <b val="1"/>
      <color rgb="00002060"/>
      <sz val="10"/>
    </font>
    <font>
      <name val="Segoe UI"/>
      <b val="1"/>
      <sz val="10"/>
    </font>
    <font>
      <name val="Segoe UI"/>
      <color rgb="00595959"/>
      <sz val="10"/>
    </font>
    <font>
      <name val="Segoe UI"/>
      <b val="1"/>
      <color rgb="00C00000"/>
      <sz val="11"/>
    </font>
    <font>
      <name val="Segoe UI"/>
      <b val="1"/>
      <color rgb="00FFFFFF"/>
      <sz val="10"/>
    </font>
    <font>
      <name val="Segoe UI"/>
      <i val="1"/>
      <color rgb="00595959"/>
      <sz val="9"/>
    </font>
    <font>
      <name val="Segoe UI"/>
      <b val="1"/>
      <color rgb="00FFFFFF"/>
      <sz val="11"/>
    </font>
    <font>
      <name val="Segoe UI"/>
      <b val="1"/>
      <color rgb="00375623"/>
      <sz val="10"/>
    </font>
  </fonts>
  <fills count="41">
    <fill>
      <patternFill/>
    </fill>
    <fill>
      <patternFill patternType="gray125"/>
    </fill>
    <fill>
      <patternFill patternType="solid">
        <fgColor theme="0"/>
        <bgColor indexed="64"/>
      </patternFill>
    </fill>
    <fill>
      <patternFill patternType="solid">
        <fgColor rgb="FFFFFF00"/>
        <bgColor indexed="64"/>
      </patternFill>
    </fill>
    <fill>
      <patternFill patternType="lightGray">
        <bgColor rgb="FFCCCCCC"/>
      </patternFill>
    </fill>
    <fill>
      <patternFill patternType="solid">
        <fgColor indexed="22"/>
        <bgColor indexed="64"/>
      </patternFill>
    </fill>
    <fill>
      <patternFill patternType="solid">
        <fgColor indexed="9"/>
        <bgColor indexed="64"/>
      </patternFill>
    </fill>
    <fill>
      <patternFill patternType="solid">
        <fgColor indexed="42"/>
        <bgColor indexed="64"/>
      </patternFill>
    </fill>
    <fill>
      <patternFill patternType="solid">
        <fgColor indexed="26"/>
        <bgColor indexed="64"/>
      </patternFill>
    </fill>
    <fill>
      <patternFill patternType="solid">
        <fgColor indexed="40"/>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4"/>
        <bgColor indexed="64"/>
      </patternFill>
    </fill>
    <fill>
      <patternFill patternType="solid">
        <fgColor indexed="41"/>
        <bgColor indexed="64"/>
      </patternFill>
    </fill>
    <fill>
      <patternFill patternType="solid">
        <fgColor indexed="35"/>
        <bgColor indexed="64"/>
      </patternFill>
    </fill>
    <fill>
      <patternFill patternType="gray125">
        <fgColor indexed="35"/>
      </patternFill>
    </fill>
    <fill>
      <patternFill patternType="solid">
        <fgColor indexed="26"/>
        <bgColor indexed="9"/>
      </patternFill>
    </fill>
    <fill>
      <patternFill patternType="solid">
        <fgColor indexed="9"/>
        <bgColor indexed="10"/>
      </patternFill>
    </fill>
    <fill>
      <patternFill patternType="solid">
        <fgColor theme="9" tint="0.5999938962981048"/>
        <bgColor indexed="64"/>
      </patternFill>
    </fill>
    <fill>
      <patternFill patternType="solid">
        <fgColor rgb="FFADC7E7"/>
      </patternFill>
    </fill>
    <fill>
      <patternFill patternType="solid">
        <fgColor rgb="FF305496"/>
        <bgColor indexed="64"/>
      </patternFill>
    </fill>
    <fill>
      <patternFill patternType="solid">
        <fgColor rgb="FFE2EFDA"/>
        <bgColor indexed="64"/>
      </patternFill>
    </fill>
    <fill>
      <patternFill patternType="solid">
        <fgColor rgb="FFFFFFFF"/>
        <bgColor rgb="FFFFFFFF"/>
      </patternFill>
    </fill>
    <fill>
      <patternFill patternType="solid">
        <fgColor rgb="FFC2CFF8"/>
        <bgColor indexed="64"/>
      </patternFill>
    </fill>
    <fill>
      <patternFill patternType="solid">
        <fgColor rgb="FFF0F0F0"/>
        <bgColor indexed="64"/>
      </patternFill>
    </fill>
    <fill>
      <patternFill patternType="solid">
        <fgColor rgb="001B365D"/>
        <bgColor rgb="001B365D"/>
      </patternFill>
    </fill>
    <fill>
      <patternFill patternType="solid">
        <fgColor rgb="00D9E1F2"/>
        <bgColor rgb="00D9E1F2"/>
      </patternFill>
    </fill>
    <fill>
      <patternFill patternType="solid">
        <fgColor rgb="002F5597"/>
        <bgColor rgb="002F5597"/>
      </patternFill>
    </fill>
    <fill>
      <patternFill patternType="solid">
        <fgColor rgb="00FFF2CC"/>
        <bgColor rgb="00FFF2CC"/>
      </patternFill>
    </fill>
    <fill>
      <patternFill patternType="solid">
        <fgColor rgb="002E75B6"/>
        <bgColor rgb="002E75B6"/>
      </patternFill>
    </fill>
    <fill>
      <patternFill patternType="solid">
        <fgColor rgb="00333f48"/>
        <bgColor rgb="00333f48"/>
      </patternFill>
    </fill>
    <fill>
      <patternFill patternType="solid">
        <fgColor rgb="00E2EFDA"/>
        <bgColor rgb="00E2EFDA"/>
      </patternFill>
    </fill>
  </fills>
  <borders count="7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uble">
        <color indexed="64"/>
      </top>
      <bottom style="hair">
        <color indexed="64"/>
      </bottom>
      <diagonal/>
    </border>
    <border>
      <left style="thin">
        <color indexed="8"/>
      </left>
      <right style="thin">
        <color indexed="8"/>
      </right>
      <top/>
      <bottom/>
      <diagonal/>
    </border>
    <border>
      <left/>
      <right/>
      <top/>
      <bottom style="hair">
        <color indexed="64"/>
      </bottom>
      <diagonal/>
    </border>
    <border>
      <left/>
      <right/>
      <top style="thin">
        <color indexed="64"/>
      </top>
      <bottom style="double">
        <color indexed="64"/>
      </bottom>
      <diagonal/>
    </border>
    <border>
      <left style="thin">
        <color indexed="64"/>
      </left>
      <right/>
      <top/>
      <bottom/>
      <diagonal/>
    </border>
    <border>
      <left/>
      <right/>
      <top style="double">
        <color indexed="64"/>
      </top>
      <bottom style="double">
        <color indexed="64"/>
      </bottom>
      <diagonal/>
    </border>
    <border>
      <left/>
      <right style="thin">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double">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8"/>
      </left>
      <right style="thin">
        <color indexed="64"/>
      </right>
      <top style="thin">
        <color indexed="64"/>
      </top>
      <bottom style="thin">
        <color indexed="64"/>
      </bottom>
      <diagonal/>
    </border>
    <border>
      <left/>
      <right/>
      <top style="medium">
        <color indexed="64"/>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thin">
        <color indexed="64"/>
      </left>
      <right style="medium">
        <color indexed="64"/>
      </right>
      <top style="medium">
        <color indexed="64"/>
      </top>
      <bottom style="thin">
        <color indexed="64"/>
      </bottom>
      <diagonal/>
    </border>
    <border>
      <left/>
      <right style="medium">
        <color indexed="0"/>
      </right>
      <top/>
      <bottom/>
      <diagonal/>
    </border>
    <border>
      <left style="hair">
        <color indexed="64"/>
      </left>
      <right/>
      <top/>
      <bottom/>
      <diagonal/>
    </border>
    <border>
      <left/>
      <right style="medium">
        <color indexed="64"/>
      </right>
      <top style="medium">
        <color indexed="64"/>
      </top>
      <bottom style="medium">
        <color indexed="64"/>
      </bottom>
      <diagonal/>
    </border>
    <border>
      <left style="thin">
        <color rgb="FF7DA2CE"/>
      </left>
      <right style="thin">
        <color rgb="FF7DA2CE"/>
      </right>
      <top style="thin">
        <color rgb="FF7DA2CE"/>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64"/>
      </left>
      <right style="medium">
        <color indexed="64"/>
      </right>
      <top/>
      <bottom/>
      <diagonal/>
    </border>
    <border>
      <left style="thin">
        <color rgb="FF7DA2CE"/>
      </left>
      <right/>
      <top style="thin">
        <color rgb="FF7DA2CE"/>
      </top>
      <bottom style="thin">
        <color rgb="FF7DA2CE"/>
      </bottom>
      <diagonal/>
    </border>
    <border>
      <left/>
      <right style="thin">
        <color rgb="FF7DA2CE"/>
      </right>
      <top style="thin">
        <color rgb="FF7DA2CE"/>
      </top>
      <bottom style="thin">
        <color rgb="FF7DA2CE"/>
      </bottom>
      <diagonal/>
    </border>
    <border>
      <left style="thin">
        <color rgb="FF7DA2CE"/>
      </left>
      <right style="thin">
        <color rgb="FF7DA2CE"/>
      </right>
      <top/>
      <bottom/>
      <diagonal/>
    </border>
    <border>
      <left style="thin">
        <color rgb="FFDDDDDD"/>
      </left>
      <right style="thin">
        <color rgb="FFDDDDDD"/>
      </right>
      <top style="thin">
        <color rgb="FFDDDDDD"/>
      </top>
      <bottom style="thin">
        <color rgb="FFDDDDDD"/>
      </bottom>
      <diagonal/>
    </border>
    <border>
      <left style="thin">
        <color rgb="FF8DA1DE"/>
      </left>
      <right style="thin">
        <color rgb="FF8DA1DE"/>
      </right>
      <top style="thin">
        <color rgb="FF8DA1DE"/>
      </top>
      <bottom/>
      <diagonal/>
    </border>
    <border>
      <left style="thin">
        <color rgb="FF8DA1DE"/>
      </left>
      <right/>
      <top style="thin">
        <color rgb="FF8DA1DE"/>
      </top>
      <bottom style="thin">
        <color rgb="FF8DA1DE"/>
      </bottom>
      <diagonal/>
    </border>
    <border>
      <left/>
      <right style="thin">
        <color rgb="FF8DA1DE"/>
      </right>
      <top style="thin">
        <color rgb="FF8DA1DE"/>
      </top>
      <bottom style="thin">
        <color rgb="FF8DA1DE"/>
      </bottom>
      <diagonal/>
    </border>
    <border>
      <left style="thin">
        <color rgb="FF8DA1DE"/>
      </left>
      <right style="thin">
        <color rgb="FF8DA1DE"/>
      </right>
      <top/>
      <bottom/>
      <diagonal/>
    </border>
    <border>
      <left style="thin">
        <color rgb="FFE3E3E3"/>
      </left>
      <right style="thin">
        <color rgb="FFE3E3E3"/>
      </right>
      <top style="thin">
        <color rgb="FFE3E3E3"/>
      </top>
      <bottom style="thin">
        <color rgb="FFE3E3E3"/>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medium">
        <color indexed="64"/>
      </left>
      <right/>
      <top/>
      <bottom/>
      <diagonal/>
    </border>
    <border>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8DA1DE"/>
      </left>
      <right/>
      <top/>
      <bottom/>
      <diagonal/>
    </border>
    <border>
      <left style="thin">
        <color rgb="FF8DA1DE"/>
      </left>
      <right style="thin">
        <color rgb="FF8DA1DE"/>
      </right>
      <top style="thin">
        <color rgb="FF8DA1DE"/>
      </top>
      <bottom style="thin">
        <color rgb="FF8DA1DE"/>
      </bottom>
      <diagonal/>
    </border>
    <border>
      <left/>
      <right/>
      <top style="thin">
        <color rgb="FF8DA1DE"/>
      </top>
      <bottom/>
      <diagonal/>
    </border>
    <border>
      <left/>
      <right style="thin">
        <color rgb="FF8DA1DE"/>
      </right>
      <top style="thin">
        <color rgb="FF8DA1DE"/>
      </top>
      <bottom/>
      <diagonal/>
    </border>
    <border>
      <left style="thin">
        <color rgb="FF7DA2CE"/>
      </left>
      <right style="thin">
        <color rgb="FF7DA2CE"/>
      </right>
      <top style="thin">
        <color rgb="FF7DA2CE"/>
      </top>
      <bottom style="thin">
        <color rgb="FF7DA2CE"/>
      </bottom>
      <diagonal/>
    </border>
    <border>
      <left/>
      <right/>
      <top style="thin">
        <color rgb="FF7DA2CE"/>
      </top>
      <bottom/>
      <diagonal/>
    </border>
    <border>
      <left/>
      <right style="thin">
        <color rgb="FF7DA2CE"/>
      </right>
      <top style="thin">
        <color rgb="FF7DA2CE"/>
      </top>
      <bottom/>
      <diagonal/>
    </border>
    <border>
      <left style="thin">
        <color rgb="FF7DA2CE"/>
      </left>
      <right/>
      <top/>
      <bottom/>
      <diagonal/>
    </border>
  </borders>
  <cellStyleXfs count="769">
    <xf numFmtId="0" fontId="16" fillId="0" borderId="0"/>
    <xf numFmtId="43" fontId="16" fillId="0" borderId="0"/>
    <xf numFmtId="0" fontId="35" fillId="0" borderId="0"/>
    <xf numFmtId="43" fontId="35" fillId="0" borderId="0"/>
    <xf numFmtId="0" fontId="37" fillId="0" borderId="0"/>
    <xf numFmtId="0" fontId="35" fillId="0" borderId="0"/>
    <xf numFmtId="43" fontId="37" fillId="0" borderId="0"/>
    <xf numFmtId="169" fontId="38" fillId="0" borderId="0"/>
    <xf numFmtId="0" fontId="35" fillId="0" borderId="0"/>
    <xf numFmtId="170" fontId="39" fillId="0" borderId="19" applyAlignment="1" applyProtection="1">
      <alignment horizontal="center"/>
      <protection locked="1" hidden="1"/>
    </xf>
    <xf numFmtId="164" fontId="40" fillId="0" borderId="20"/>
    <xf numFmtId="171" fontId="41" fillId="0" borderId="0"/>
    <xf numFmtId="0" fontId="42" fillId="0" borderId="0"/>
    <xf numFmtId="172" fontId="41" fillId="0" borderId="0"/>
    <xf numFmtId="0" fontId="37" fillId="0" borderId="0"/>
    <xf numFmtId="43" fontId="37" fillId="0" borderId="0"/>
    <xf numFmtId="42" fontId="43" fillId="0" borderId="0"/>
    <xf numFmtId="173" fontId="43" fillId="0" borderId="0"/>
    <xf numFmtId="41" fontId="37" fillId="0" borderId="0"/>
    <xf numFmtId="41" fontId="44" fillId="0" borderId="0"/>
    <xf numFmtId="174" fontId="44" fillId="0" borderId="0"/>
    <xf numFmtId="175" fontId="45" fillId="0" borderId="0"/>
    <xf numFmtId="0" fontId="46" fillId="0" borderId="0"/>
    <xf numFmtId="0" fontId="37" fillId="0" borderId="0"/>
    <xf numFmtId="0" fontId="37" fillId="0" borderId="0"/>
    <xf numFmtId="0" fontId="47" fillId="0" borderId="0"/>
    <xf numFmtId="0" fontId="37" fillId="0" borderId="0"/>
    <xf numFmtId="41" fontId="35" fillId="0" borderId="0"/>
    <xf numFmtId="0" fontId="48" fillId="0" borderId="0"/>
    <xf numFmtId="0" fontId="48" fillId="0" borderId="0"/>
    <xf numFmtId="0" fontId="49" fillId="0" borderId="0"/>
    <xf numFmtId="0" fontId="50" fillId="0" borderId="0"/>
    <xf numFmtId="0" fontId="49" fillId="0" borderId="0"/>
    <xf numFmtId="0" fontId="49" fillId="0" borderId="0"/>
    <xf numFmtId="176" fontId="35" fillId="0" borderId="0"/>
    <xf numFmtId="0" fontId="51" fillId="0" borderId="0"/>
    <xf numFmtId="0" fontId="49" fillId="0" borderId="0"/>
    <xf numFmtId="177" fontId="52" fillId="0" borderId="0"/>
    <xf numFmtId="0" fontId="51" fillId="0" borderId="0"/>
    <xf numFmtId="0" fontId="53" fillId="0" borderId="0" applyAlignment="1">
      <alignment vertical="top"/>
    </xf>
    <xf numFmtId="0" fontId="53" fillId="0" borderId="0" applyAlignment="1">
      <alignment vertical="top"/>
    </xf>
    <xf numFmtId="0" fontId="53" fillId="0" borderId="0" applyAlignment="1">
      <alignment vertical="top"/>
    </xf>
    <xf numFmtId="0" fontId="49" fillId="0" borderId="0"/>
    <xf numFmtId="0" fontId="50" fillId="0" borderId="0"/>
    <xf numFmtId="42" fontId="52" fillId="0" borderId="0"/>
    <xf numFmtId="0" fontId="49" fillId="0" borderId="0"/>
    <xf numFmtId="42" fontId="52" fillId="0" borderId="0"/>
    <xf numFmtId="0" fontId="49" fillId="0" borderId="0"/>
    <xf numFmtId="0" fontId="49" fillId="0" borderId="0"/>
    <xf numFmtId="0" fontId="49" fillId="0" borderId="0"/>
    <xf numFmtId="0" fontId="50" fillId="0" borderId="0"/>
    <xf numFmtId="0" fontId="49" fillId="0" borderId="0"/>
    <xf numFmtId="0" fontId="49" fillId="0" borderId="0"/>
    <xf numFmtId="0" fontId="48" fillId="0" borderId="0"/>
    <xf numFmtId="0" fontId="49" fillId="0" borderId="0"/>
    <xf numFmtId="0" fontId="51" fillId="0" borderId="0"/>
    <xf numFmtId="0" fontId="49" fillId="0" borderId="0"/>
    <xf numFmtId="0" fontId="50" fillId="0" borderId="0"/>
    <xf numFmtId="0" fontId="48" fillId="0" borderId="0"/>
    <xf numFmtId="42" fontId="52" fillId="0" borderId="0"/>
    <xf numFmtId="169" fontId="38" fillId="0" borderId="0"/>
    <xf numFmtId="43" fontId="38" fillId="0" borderId="0"/>
    <xf numFmtId="43" fontId="52" fillId="0" borderId="0"/>
    <xf numFmtId="178" fontId="52" fillId="0" borderId="0"/>
    <xf numFmtId="0" fontId="52" fillId="0" borderId="0"/>
    <xf numFmtId="43" fontId="52" fillId="0" borderId="0"/>
    <xf numFmtId="41" fontId="38" fillId="0" borderId="0"/>
    <xf numFmtId="42" fontId="52" fillId="0" borderId="0"/>
    <xf numFmtId="177" fontId="52" fillId="0" borderId="0"/>
    <xf numFmtId="43" fontId="52" fillId="0" borderId="0"/>
    <xf numFmtId="178" fontId="52" fillId="0" borderId="0"/>
    <xf numFmtId="0" fontId="52" fillId="0" borderId="0"/>
    <xf numFmtId="43" fontId="52" fillId="0" borderId="0"/>
    <xf numFmtId="43" fontId="38" fillId="0" borderId="0"/>
    <xf numFmtId="41" fontId="52" fillId="0" borderId="0"/>
    <xf numFmtId="179" fontId="52" fillId="0" borderId="0"/>
    <xf numFmtId="176" fontId="52" fillId="0" borderId="0"/>
    <xf numFmtId="41" fontId="52" fillId="0" borderId="0"/>
    <xf numFmtId="177" fontId="52" fillId="0" borderId="0"/>
    <xf numFmtId="41" fontId="38" fillId="0" borderId="0"/>
    <xf numFmtId="43" fontId="38" fillId="0" borderId="0"/>
    <xf numFmtId="41" fontId="52" fillId="0" borderId="0"/>
    <xf numFmtId="179" fontId="52" fillId="0" borderId="0"/>
    <xf numFmtId="176" fontId="52" fillId="0" borderId="0"/>
    <xf numFmtId="41" fontId="52" fillId="0" borderId="0"/>
    <xf numFmtId="43" fontId="52" fillId="0" borderId="0"/>
    <xf numFmtId="178" fontId="52" fillId="0" borderId="0"/>
    <xf numFmtId="0" fontId="52" fillId="0" borderId="0"/>
    <xf numFmtId="43" fontId="52" fillId="0" borderId="0"/>
    <xf numFmtId="41" fontId="38" fillId="0" borderId="0"/>
    <xf numFmtId="169" fontId="38" fillId="0" borderId="0"/>
    <xf numFmtId="0" fontId="53" fillId="0" borderId="0" applyAlignment="1">
      <alignment vertical="top"/>
    </xf>
    <xf numFmtId="0" fontId="50" fillId="0" borderId="0"/>
    <xf numFmtId="0" fontId="49" fillId="0" borderId="0"/>
    <xf numFmtId="0" fontId="50" fillId="0" borderId="0"/>
    <xf numFmtId="0" fontId="49" fillId="0" borderId="0"/>
    <xf numFmtId="0" fontId="49" fillId="0" borderId="0"/>
    <xf numFmtId="0" fontId="48" fillId="0" borderId="0"/>
    <xf numFmtId="0" fontId="49" fillId="0" borderId="0"/>
    <xf numFmtId="0" fontId="48" fillId="0" borderId="0"/>
    <xf numFmtId="0" fontId="50" fillId="0" borderId="0"/>
    <xf numFmtId="0" fontId="50" fillId="0" borderId="0"/>
    <xf numFmtId="0" fontId="49" fillId="0" borderId="0"/>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48" fillId="0" borderId="0"/>
    <xf numFmtId="41" fontId="38" fillId="0" borderId="0"/>
    <xf numFmtId="41" fontId="52" fillId="0" borderId="0"/>
    <xf numFmtId="179" fontId="52" fillId="0" borderId="0"/>
    <xf numFmtId="176" fontId="52" fillId="0" borderId="0"/>
    <xf numFmtId="41" fontId="52" fillId="0" borderId="0"/>
    <xf numFmtId="43" fontId="52" fillId="0" borderId="0"/>
    <xf numFmtId="178" fontId="52" fillId="0" borderId="0"/>
    <xf numFmtId="0" fontId="52" fillId="0" borderId="0"/>
    <xf numFmtId="43" fontId="52" fillId="0" borderId="0"/>
    <xf numFmtId="169" fontId="38" fillId="0" borderId="0"/>
    <xf numFmtId="43" fontId="38" fillId="0" borderId="0"/>
    <xf numFmtId="0" fontId="49" fillId="0" borderId="0"/>
    <xf numFmtId="42" fontId="52" fillId="0" borderId="0"/>
    <xf numFmtId="0" fontId="50" fillId="0" borderId="0"/>
    <xf numFmtId="0" fontId="50" fillId="0" borderId="0"/>
    <xf numFmtId="0" fontId="50" fillId="0" borderId="0"/>
    <xf numFmtId="0" fontId="50" fillId="0" borderId="0"/>
    <xf numFmtId="0" fontId="50" fillId="0" borderId="0"/>
    <xf numFmtId="0" fontId="49" fillId="0" borderId="0"/>
    <xf numFmtId="0" fontId="50" fillId="0" borderId="0"/>
    <xf numFmtId="0" fontId="50" fillId="0" borderId="0"/>
    <xf numFmtId="0" fontId="51" fillId="0" borderId="0"/>
    <xf numFmtId="0" fontId="49" fillId="0" borderId="0"/>
    <xf numFmtId="0" fontId="48" fillId="0" borderId="0"/>
    <xf numFmtId="0" fontId="48" fillId="0" borderId="0"/>
    <xf numFmtId="180" fontId="54" fillId="0" borderId="0"/>
    <xf numFmtId="181" fontId="55" fillId="0" borderId="0"/>
    <xf numFmtId="182" fontId="49" fillId="0" borderId="0"/>
    <xf numFmtId="0" fontId="56" fillId="0" borderId="0"/>
    <xf numFmtId="0" fontId="57" fillId="0" borderId="0"/>
    <xf numFmtId="0" fontId="57" fillId="0" borderId="0"/>
    <xf numFmtId="1" fontId="58" fillId="0" borderId="1" applyAlignment="1">
      <alignment horizontal="center"/>
    </xf>
    <xf numFmtId="180" fontId="54" fillId="0" borderId="0"/>
    <xf numFmtId="180" fontId="54" fillId="0" borderId="0"/>
    <xf numFmtId="180" fontId="54" fillId="0" borderId="0"/>
    <xf numFmtId="0" fontId="59" fillId="0" borderId="0"/>
    <xf numFmtId="9" fontId="60" fillId="0" borderId="0"/>
    <xf numFmtId="0" fontId="61" fillId="5" borderId="0"/>
    <xf numFmtId="0" fontId="35" fillId="0" borderId="0"/>
    <xf numFmtId="0" fontId="62" fillId="0" borderId="1" applyAlignment="1">
      <alignment horizontal="center" vertical="center"/>
    </xf>
    <xf numFmtId="0" fontId="63" fillId="5" borderId="0"/>
    <xf numFmtId="0" fontId="64" fillId="0" borderId="0" applyAlignment="1">
      <alignment wrapText="1"/>
    </xf>
    <xf numFmtId="0" fontId="49" fillId="0" borderId="0"/>
    <xf numFmtId="3" fontId="65" fillId="0" borderId="0" applyAlignment="1">
      <alignment vertical="center"/>
    </xf>
    <xf numFmtId="37" fontId="37" fillId="6" borderId="21"/>
    <xf numFmtId="180" fontId="66" fillId="0" borderId="0"/>
    <xf numFmtId="0" fontId="67" fillId="0" borderId="0"/>
    <xf numFmtId="183" fontId="52" fillId="0" borderId="0"/>
    <xf numFmtId="184" fontId="66" fillId="0" borderId="0"/>
    <xf numFmtId="0" fontId="67" fillId="0" borderId="0"/>
    <xf numFmtId="185" fontId="37" fillId="0" borderId="0"/>
    <xf numFmtId="186" fontId="66" fillId="0" borderId="0"/>
    <xf numFmtId="0" fontId="67" fillId="0" borderId="0"/>
    <xf numFmtId="186" fontId="68" fillId="0" borderId="0"/>
    <xf numFmtId="187" fontId="66" fillId="0" borderId="0"/>
    <xf numFmtId="0" fontId="67" fillId="0" borderId="0"/>
    <xf numFmtId="188" fontId="68" fillId="0" borderId="0"/>
    <xf numFmtId="169" fontId="38" fillId="0" borderId="0"/>
    <xf numFmtId="0" fontId="67" fillId="0" borderId="0"/>
    <xf numFmtId="0" fontId="66" fillId="0" borderId="0"/>
    <xf numFmtId="0" fontId="67" fillId="0" borderId="0"/>
    <xf numFmtId="0" fontId="69" fillId="0" borderId="0"/>
    <xf numFmtId="0" fontId="70" fillId="0" borderId="0"/>
    <xf numFmtId="189" fontId="37" fillId="0" borderId="0"/>
    <xf numFmtId="190" fontId="71" fillId="0" borderId="0"/>
    <xf numFmtId="191" fontId="71" fillId="0" borderId="0"/>
    <xf numFmtId="192" fontId="71" fillId="0" borderId="0"/>
    <xf numFmtId="193" fontId="37" fillId="0" borderId="0"/>
    <xf numFmtId="194" fontId="71" fillId="0" borderId="0"/>
    <xf numFmtId="195" fontId="71" fillId="0" borderId="0"/>
    <xf numFmtId="190" fontId="71" fillId="0" borderId="0"/>
    <xf numFmtId="0" fontId="72" fillId="0" borderId="0"/>
    <xf numFmtId="196" fontId="73" fillId="0" borderId="22"/>
    <xf numFmtId="196" fontId="74" fillId="0" borderId="15" applyProtection="1">
      <protection locked="0" hidden="0"/>
    </xf>
    <xf numFmtId="0" fontId="75" fillId="0" borderId="0" applyAlignment="1" applyProtection="1">
      <alignment horizontal="center"/>
      <protection locked="0" hidden="0"/>
    </xf>
    <xf numFmtId="197" fontId="52" fillId="0" borderId="0"/>
    <xf numFmtId="198" fontId="76" fillId="0" borderId="15"/>
    <xf numFmtId="164" fontId="77" fillId="0" borderId="0"/>
    <xf numFmtId="1" fontId="78" fillId="0" borderId="13"/>
    <xf numFmtId="0" fontId="79" fillId="0" borderId="2" applyAlignment="1">
      <alignment horizontal="center"/>
    </xf>
    <xf numFmtId="199" fontId="37" fillId="0" borderId="0"/>
    <xf numFmtId="194" fontId="71" fillId="0" borderId="0"/>
    <xf numFmtId="200" fontId="35" fillId="0" borderId="18" applyAlignment="1">
      <alignment horizontal="center"/>
    </xf>
    <xf numFmtId="201" fontId="26" fillId="0" borderId="0"/>
    <xf numFmtId="202" fontId="80" fillId="0" borderId="0"/>
    <xf numFmtId="203" fontId="81" fillId="0" borderId="0"/>
    <xf numFmtId="204" fontId="80" fillId="0" borderId="0"/>
    <xf numFmtId="205" fontId="81" fillId="0" borderId="0"/>
    <xf numFmtId="206" fontId="80" fillId="0" borderId="0"/>
    <xf numFmtId="43" fontId="35" fillId="0" borderId="0"/>
    <xf numFmtId="43" fontId="35" fillId="0" borderId="0"/>
    <xf numFmtId="43" fontId="35" fillId="0" borderId="0"/>
    <xf numFmtId="43" fontId="82" fillId="0" borderId="0"/>
    <xf numFmtId="43" fontId="82" fillId="0" borderId="0"/>
    <xf numFmtId="43" fontId="35" fillId="0" borderId="0"/>
    <xf numFmtId="43" fontId="35" fillId="0" borderId="0"/>
    <xf numFmtId="43" fontId="37" fillId="0" borderId="0"/>
    <xf numFmtId="207" fontId="35" fillId="0" borderId="0"/>
    <xf numFmtId="207" fontId="35" fillId="0" borderId="0"/>
    <xf numFmtId="188" fontId="35" fillId="0" borderId="0"/>
    <xf numFmtId="43" fontId="35" fillId="0" borderId="0"/>
    <xf numFmtId="43" fontId="35" fillId="0" borderId="0"/>
    <xf numFmtId="188" fontId="35" fillId="0" borderId="0"/>
    <xf numFmtId="43" fontId="16" fillId="0" borderId="0"/>
    <xf numFmtId="43" fontId="35" fillId="0" borderId="0"/>
    <xf numFmtId="43" fontId="35" fillId="0" borderId="0"/>
    <xf numFmtId="43" fontId="35" fillId="0" borderId="0"/>
    <xf numFmtId="208" fontId="36" fillId="0" borderId="0"/>
    <xf numFmtId="3" fontId="37" fillId="0" borderId="0"/>
    <xf numFmtId="0" fontId="83" fillId="0" borderId="0"/>
    <xf numFmtId="37" fontId="37" fillId="5" borderId="21"/>
    <xf numFmtId="0" fontId="84" fillId="0" borderId="0" applyAlignment="1">
      <alignment horizontal="center"/>
    </xf>
    <xf numFmtId="0" fontId="85" fillId="0" borderId="0" applyAlignment="1">
      <alignment horizontal="left"/>
    </xf>
    <xf numFmtId="209" fontId="86" fillId="0" borderId="0"/>
    <xf numFmtId="210" fontId="26" fillId="0" borderId="0"/>
    <xf numFmtId="211" fontId="36" fillId="0" borderId="0"/>
    <xf numFmtId="211" fontId="36" fillId="0" borderId="16"/>
    <xf numFmtId="211" fontId="36" fillId="0" borderId="23"/>
    <xf numFmtId="212" fontId="87" fillId="0" borderId="0" applyProtection="1">
      <protection locked="0" hidden="0"/>
    </xf>
    <xf numFmtId="213" fontId="87" fillId="0" borderId="0" applyProtection="1">
      <protection locked="0" hidden="0"/>
    </xf>
    <xf numFmtId="214" fontId="88" fillId="0" borderId="24" applyProtection="1">
      <protection locked="0" hidden="0"/>
    </xf>
    <xf numFmtId="215" fontId="87" fillId="0" borderId="0" applyProtection="1">
      <protection locked="0" hidden="0"/>
    </xf>
    <xf numFmtId="216" fontId="87" fillId="0" borderId="0" applyProtection="1">
      <protection locked="0" hidden="0"/>
    </xf>
    <xf numFmtId="215" fontId="87" fillId="0" borderId="0" applyProtection="1">
      <protection locked="0" hidden="0"/>
    </xf>
    <xf numFmtId="215" fontId="87" fillId="0" borderId="0" applyProtection="1">
      <protection locked="0" hidden="0"/>
    </xf>
    <xf numFmtId="196" fontId="89" fillId="0" borderId="19"/>
    <xf numFmtId="217" fontId="89" fillId="0" borderId="19"/>
    <xf numFmtId="218" fontId="90" fillId="0" borderId="0"/>
    <xf numFmtId="219" fontId="37" fillId="0" borderId="0"/>
    <xf numFmtId="220" fontId="90" fillId="0" borderId="0"/>
    <xf numFmtId="190" fontId="71" fillId="0" borderId="0"/>
    <xf numFmtId="221" fontId="81" fillId="0" borderId="0"/>
    <xf numFmtId="222" fontId="80" fillId="0" borderId="0"/>
    <xf numFmtId="223" fontId="81" fillId="0" borderId="0"/>
    <xf numFmtId="224" fontId="80" fillId="0" borderId="0"/>
    <xf numFmtId="225" fontId="81" fillId="0" borderId="0"/>
    <xf numFmtId="226" fontId="80" fillId="0" borderId="0"/>
    <xf numFmtId="227" fontId="37" fillId="0" borderId="0"/>
    <xf numFmtId="228" fontId="37" fillId="0" borderId="0"/>
    <xf numFmtId="229" fontId="37" fillId="0" borderId="0"/>
    <xf numFmtId="0" fontId="38" fillId="0" borderId="0"/>
    <xf numFmtId="196" fontId="39" fillId="0" borderId="19" applyAlignment="1" applyProtection="1">
      <alignment horizontal="center"/>
      <protection locked="1" hidden="1"/>
    </xf>
    <xf numFmtId="230" fontId="91" fillId="0" borderId="19" applyAlignment="1" applyProtection="1">
      <alignment horizontal="center"/>
      <protection locked="1" hidden="1"/>
    </xf>
    <xf numFmtId="2" fontId="39" fillId="0" borderId="19" applyAlignment="1" applyProtection="1">
      <alignment horizontal="center"/>
      <protection locked="1" hidden="1"/>
    </xf>
    <xf numFmtId="0" fontId="15" fillId="5" borderId="0" applyAlignment="1">
      <alignment horizontal="left"/>
    </xf>
    <xf numFmtId="0" fontId="92" fillId="0" borderId="0"/>
    <xf numFmtId="14" fontId="53" fillId="0" borderId="0"/>
    <xf numFmtId="0" fontId="37" fillId="0" borderId="0"/>
    <xf numFmtId="3" fontId="93" fillId="0" borderId="11" applyAlignment="1">
      <alignment horizontal="left" vertical="top" wrapText="1"/>
    </xf>
    <xf numFmtId="231" fontId="36" fillId="0" borderId="0"/>
    <xf numFmtId="231" fontId="36" fillId="0" borderId="16"/>
    <xf numFmtId="231" fontId="36" fillId="0" borderId="23"/>
    <xf numFmtId="232" fontId="37" fillId="0" borderId="25" applyAlignment="1">
      <alignment vertical="center"/>
    </xf>
    <xf numFmtId="0" fontId="37" fillId="0" borderId="0"/>
    <xf numFmtId="0" fontId="37" fillId="0" borderId="0"/>
    <xf numFmtId="1" fontId="37" fillId="7" borderId="15"/>
    <xf numFmtId="233" fontId="37" fillId="0" borderId="0"/>
    <xf numFmtId="41" fontId="94" fillId="0" borderId="0"/>
    <xf numFmtId="234" fontId="94" fillId="0" borderId="0"/>
    <xf numFmtId="41" fontId="94" fillId="0" borderId="0"/>
    <xf numFmtId="41" fontId="94" fillId="0" borderId="0"/>
    <xf numFmtId="235" fontId="37" fillId="0" borderId="0"/>
    <xf numFmtId="235" fontId="37" fillId="0" borderId="0"/>
    <xf numFmtId="235" fontId="37" fillId="0" borderId="0"/>
    <xf numFmtId="235" fontId="37" fillId="0" borderId="0"/>
    <xf numFmtId="41" fontId="94" fillId="0" borderId="0"/>
    <xf numFmtId="41" fontId="94" fillId="0" borderId="0"/>
    <xf numFmtId="235" fontId="37" fillId="0" borderId="0"/>
    <xf numFmtId="235" fontId="37" fillId="0" borderId="0"/>
    <xf numFmtId="236" fontId="35" fillId="0" borderId="0"/>
    <xf numFmtId="236" fontId="35" fillId="0" borderId="0"/>
    <xf numFmtId="237" fontId="35" fillId="0" borderId="0"/>
    <xf numFmtId="237" fontId="35" fillId="0" borderId="0"/>
    <xf numFmtId="41" fontId="94" fillId="0" borderId="0"/>
    <xf numFmtId="238" fontId="94" fillId="0" borderId="0"/>
    <xf numFmtId="238" fontId="94" fillId="0" borderId="0"/>
    <xf numFmtId="238" fontId="94" fillId="0" borderId="0"/>
    <xf numFmtId="238" fontId="94" fillId="0" borderId="0"/>
    <xf numFmtId="238" fontId="94" fillId="0" borderId="0"/>
    <xf numFmtId="41" fontId="94" fillId="0" borderId="0"/>
    <xf numFmtId="41" fontId="94" fillId="0" borderId="0"/>
    <xf numFmtId="238" fontId="94" fillId="0" borderId="0"/>
    <xf numFmtId="238" fontId="94" fillId="0" borderId="0"/>
    <xf numFmtId="41" fontId="94" fillId="0" borderId="0"/>
    <xf numFmtId="234" fontId="94" fillId="0" borderId="0"/>
    <xf numFmtId="234" fontId="94" fillId="0" borderId="0"/>
    <xf numFmtId="239" fontId="37" fillId="0" borderId="0"/>
    <xf numFmtId="239" fontId="37" fillId="0" borderId="0"/>
    <xf numFmtId="239" fontId="37" fillId="0" borderId="0"/>
    <xf numFmtId="239" fontId="37" fillId="0" borderId="0"/>
    <xf numFmtId="234" fontId="94" fillId="0" borderId="0"/>
    <xf numFmtId="234" fontId="94" fillId="0" borderId="0"/>
    <xf numFmtId="239" fontId="37" fillId="0" borderId="0"/>
    <xf numFmtId="239" fontId="37" fillId="0" borderId="0"/>
    <xf numFmtId="240" fontId="35" fillId="0" borderId="0"/>
    <xf numFmtId="240" fontId="35" fillId="0" borderId="0"/>
    <xf numFmtId="241" fontId="35" fillId="0" borderId="0"/>
    <xf numFmtId="241" fontId="35" fillId="0" borderId="0"/>
    <xf numFmtId="234" fontId="94" fillId="0" borderId="0"/>
    <xf numFmtId="242" fontId="94" fillId="0" borderId="0"/>
    <xf numFmtId="242" fontId="94" fillId="0" borderId="0"/>
    <xf numFmtId="242" fontId="94" fillId="0" borderId="0"/>
    <xf numFmtId="242" fontId="94" fillId="0" borderId="0"/>
    <xf numFmtId="242" fontId="94" fillId="0" borderId="0"/>
    <xf numFmtId="234" fontId="94" fillId="0" borderId="0"/>
    <xf numFmtId="234" fontId="94" fillId="0" borderId="0"/>
    <xf numFmtId="242" fontId="94" fillId="0" borderId="0"/>
    <xf numFmtId="242" fontId="94" fillId="0" borderId="0"/>
    <xf numFmtId="234" fontId="94" fillId="0" borderId="0"/>
    <xf numFmtId="194" fontId="71" fillId="0" borderId="0"/>
    <xf numFmtId="190" fontId="71" fillId="0" borderId="0"/>
    <xf numFmtId="194" fontId="71" fillId="0" borderId="0"/>
    <xf numFmtId="195" fontId="71" fillId="0" borderId="0"/>
    <xf numFmtId="190" fontId="71" fillId="0" borderId="0"/>
    <xf numFmtId="0" fontId="95" fillId="0" borderId="0" applyAlignment="1">
      <alignment horizontal="left"/>
    </xf>
    <xf numFmtId="243" fontId="96" fillId="0" borderId="0"/>
    <xf numFmtId="244" fontId="97" fillId="0" borderId="0"/>
    <xf numFmtId="0" fontId="98" fillId="0" borderId="0"/>
    <xf numFmtId="0" fontId="99" fillId="0" borderId="0"/>
    <xf numFmtId="0" fontId="100" fillId="0" borderId="0"/>
    <xf numFmtId="0" fontId="101" fillId="0" borderId="0"/>
    <xf numFmtId="0" fontId="102" fillId="0" borderId="0"/>
    <xf numFmtId="0" fontId="103" fillId="0" borderId="0"/>
    <xf numFmtId="0" fontId="104" fillId="0" borderId="0"/>
    <xf numFmtId="2" fontId="92" fillId="0" borderId="0"/>
    <xf numFmtId="0" fontId="105" fillId="0" borderId="0" applyAlignment="1">
      <alignment vertical="top" wrapText="1"/>
    </xf>
    <xf numFmtId="38" fontId="106" fillId="5" borderId="0"/>
    <xf numFmtId="0" fontId="107" fillId="0" borderId="0" applyAlignment="1">
      <alignment horizontal="left" vertical="center"/>
    </xf>
    <xf numFmtId="0" fontId="36" fillId="0" borderId="26" applyAlignment="1">
      <alignment horizontal="center" vertical="center"/>
    </xf>
    <xf numFmtId="0" fontId="108" fillId="0" borderId="0" applyAlignment="1">
      <alignment horizontal="left"/>
    </xf>
    <xf numFmtId="0" fontId="109" fillId="0" borderId="27" applyAlignment="1">
      <alignment horizontal="left" vertical="center"/>
    </xf>
    <xf numFmtId="0" fontId="109" fillId="0" borderId="28" applyAlignment="1">
      <alignment horizontal="left" vertical="center"/>
    </xf>
    <xf numFmtId="245" fontId="110" fillId="8" borderId="0" applyAlignment="1">
      <alignment horizontal="left" vertical="top"/>
    </xf>
    <xf numFmtId="0" fontId="111" fillId="0" borderId="0"/>
    <xf numFmtId="0" fontId="111" fillId="0" borderId="0"/>
    <xf numFmtId="0" fontId="111" fillId="0" borderId="0"/>
    <xf numFmtId="0" fontId="111" fillId="0" borderId="0"/>
    <xf numFmtId="0" fontId="109" fillId="0" borderId="0"/>
    <xf numFmtId="0" fontId="109" fillId="0" borderId="0"/>
    <xf numFmtId="0" fontId="109" fillId="0" borderId="0"/>
    <xf numFmtId="0" fontId="109" fillId="0" borderId="0"/>
    <xf numFmtId="0" fontId="75" fillId="0" borderId="0" applyProtection="1">
      <protection locked="0" hidden="0"/>
    </xf>
    <xf numFmtId="0" fontId="75" fillId="0" borderId="29" applyProtection="1">
      <protection locked="0" hidden="0"/>
    </xf>
    <xf numFmtId="0" fontId="111" fillId="0" borderId="0"/>
    <xf numFmtId="0" fontId="109" fillId="0" borderId="0"/>
    <xf numFmtId="207" fontId="112" fillId="9" borderId="1" applyAlignment="1">
      <alignment horizontal="left" vertical="top"/>
    </xf>
    <xf numFmtId="246" fontId="37" fillId="0" borderId="0" applyAlignment="1">
      <alignment vertical="top" wrapText="1"/>
    </xf>
    <xf numFmtId="0" fontId="113" fillId="5" borderId="30" applyAlignment="1">
      <alignment vertical="center"/>
    </xf>
    <xf numFmtId="0" fontId="113" fillId="10" borderId="11"/>
    <xf numFmtId="49" fontId="114" fillId="0" borderId="1" applyAlignment="1">
      <alignment vertical="center"/>
    </xf>
    <xf numFmtId="41" fontId="35" fillId="0" borderId="0"/>
    <xf numFmtId="38" fontId="48" fillId="0" borderId="0"/>
    <xf numFmtId="176" fontId="52" fillId="0" borderId="0"/>
    <xf numFmtId="247" fontId="115" fillId="0" borderId="0"/>
    <xf numFmtId="0" fontId="116" fillId="8" borderId="0" applyAlignment="1">
      <alignment horizontal="left" wrapText="1" indent="2"/>
    </xf>
    <xf numFmtId="10" fontId="106" fillId="8" borderId="1"/>
    <xf numFmtId="0" fontId="117" fillId="0" borderId="0"/>
    <xf numFmtId="0" fontId="117" fillId="0" borderId="0"/>
    <xf numFmtId="0" fontId="117" fillId="0" borderId="0"/>
    <xf numFmtId="0" fontId="117" fillId="0" borderId="0"/>
    <xf numFmtId="0" fontId="118" fillId="0" borderId="0"/>
    <xf numFmtId="41" fontId="35" fillId="0" borderId="0"/>
    <xf numFmtId="0" fontId="35" fillId="0" borderId="0"/>
    <xf numFmtId="208" fontId="37" fillId="5" borderId="11"/>
    <xf numFmtId="0" fontId="48" fillId="0" borderId="0"/>
    <xf numFmtId="0" fontId="36" fillId="0" borderId="0" applyAlignment="1">
      <alignment horizontal="left" vertical="center"/>
    </xf>
    <xf numFmtId="37" fontId="15" fillId="0" borderId="0"/>
    <xf numFmtId="0" fontId="48" fillId="0" borderId="0"/>
    <xf numFmtId="194" fontId="71" fillId="0" borderId="0"/>
    <xf numFmtId="190" fontId="71" fillId="0" borderId="0"/>
    <xf numFmtId="194" fontId="71" fillId="0" borderId="0"/>
    <xf numFmtId="195" fontId="71" fillId="0" borderId="0"/>
    <xf numFmtId="190" fontId="71" fillId="0" borderId="0"/>
    <xf numFmtId="196" fontId="106" fillId="0" borderId="22"/>
    <xf numFmtId="3" fontId="37" fillId="0" borderId="31"/>
    <xf numFmtId="38" fontId="48" fillId="0" borderId="0"/>
    <xf numFmtId="40" fontId="48" fillId="0" borderId="0"/>
    <xf numFmtId="41" fontId="37" fillId="0" borderId="0"/>
    <xf numFmtId="43" fontId="37" fillId="0" borderId="0"/>
    <xf numFmtId="0" fontId="119" fillId="0" borderId="10"/>
    <xf numFmtId="248" fontId="120" fillId="0" borderId="17"/>
    <xf numFmtId="249" fontId="48" fillId="0" borderId="0"/>
    <xf numFmtId="250" fontId="48" fillId="0" borderId="0"/>
    <xf numFmtId="251" fontId="38" fillId="0" borderId="0"/>
    <xf numFmtId="252" fontId="38" fillId="0" borderId="0"/>
    <xf numFmtId="0" fontId="92" fillId="0" borderId="0"/>
    <xf numFmtId="0" fontId="89" fillId="0" borderId="0" applyAlignment="1">
      <alignment horizontal="justify" vertical="top"/>
    </xf>
    <xf numFmtId="0" fontId="36" fillId="0" borderId="0"/>
    <xf numFmtId="37" fontId="121" fillId="0" borderId="0"/>
    <xf numFmtId="253" fontId="37" fillId="5" borderId="32" applyAlignment="1">
      <alignment horizontal="center" vertical="center"/>
    </xf>
    <xf numFmtId="0" fontId="122" fillId="0" borderId="1" applyAlignment="1">
      <alignment horizontal="center"/>
    </xf>
    <xf numFmtId="0" fontId="37" fillId="0" borderId="0"/>
    <xf numFmtId="0" fontId="123" fillId="0" borderId="0"/>
    <xf numFmtId="0" fontId="124" fillId="0" borderId="0"/>
    <xf numFmtId="0" fontId="37" fillId="0" borderId="0"/>
    <xf numFmtId="0" fontId="37" fillId="0" borderId="0"/>
    <xf numFmtId="0" fontId="37" fillId="0" borderId="0"/>
    <xf numFmtId="0" fontId="37" fillId="0" borderId="0"/>
    <xf numFmtId="0" fontId="35" fillId="0" borderId="0"/>
    <xf numFmtId="0" fontId="35" fillId="0" borderId="0"/>
    <xf numFmtId="0" fontId="35" fillId="0" borderId="0"/>
    <xf numFmtId="0" fontId="35" fillId="0" borderId="0"/>
    <xf numFmtId="0" fontId="35" fillId="0" borderId="0"/>
    <xf numFmtId="0" fontId="35" fillId="0" borderId="0"/>
    <xf numFmtId="0" fontId="16" fillId="0" borderId="0"/>
    <xf numFmtId="0" fontId="35" fillId="0" borderId="0"/>
    <xf numFmtId="0" fontId="37" fillId="0" borderId="0"/>
    <xf numFmtId="0" fontId="16" fillId="0" borderId="0"/>
    <xf numFmtId="0" fontId="16" fillId="0" borderId="0"/>
    <xf numFmtId="0" fontId="16" fillId="0" borderId="0"/>
    <xf numFmtId="0" fontId="16" fillId="0" borderId="0"/>
    <xf numFmtId="0" fontId="125" fillId="0" borderId="0"/>
    <xf numFmtId="0" fontId="16" fillId="0" borderId="0"/>
    <xf numFmtId="0" fontId="16" fillId="0" borderId="0"/>
    <xf numFmtId="0" fontId="35" fillId="0" borderId="0"/>
    <xf numFmtId="0" fontId="35" fillId="0" borderId="0"/>
    <xf numFmtId="0" fontId="35" fillId="0" borderId="0"/>
    <xf numFmtId="0" fontId="35" fillId="0" borderId="0"/>
    <xf numFmtId="0" fontId="37" fillId="0" borderId="0"/>
    <xf numFmtId="0" fontId="16" fillId="0" borderId="0"/>
    <xf numFmtId="0" fontId="16" fillId="0" borderId="0"/>
    <xf numFmtId="0" fontId="37" fillId="0" borderId="0"/>
    <xf numFmtId="0" fontId="35" fillId="0" borderId="0"/>
    <xf numFmtId="0" fontId="35" fillId="0" borderId="0"/>
    <xf numFmtId="0" fontId="37" fillId="0" borderId="0"/>
    <xf numFmtId="0" fontId="16" fillId="0" borderId="0"/>
    <xf numFmtId="0" fontId="16" fillId="0" borderId="0"/>
    <xf numFmtId="0" fontId="37" fillId="0" borderId="0"/>
    <xf numFmtId="0" fontId="35" fillId="0" borderId="0"/>
    <xf numFmtId="37" fontId="126" fillId="0" borderId="0"/>
    <xf numFmtId="0" fontId="94" fillId="0" borderId="0"/>
    <xf numFmtId="43" fontId="57" fillId="0" borderId="0"/>
    <xf numFmtId="41" fontId="57" fillId="0" borderId="0"/>
    <xf numFmtId="0" fontId="75" fillId="0" borderId="0"/>
    <xf numFmtId="0" fontId="127" fillId="0" borderId="0"/>
    <xf numFmtId="0" fontId="35" fillId="0" borderId="0"/>
    <xf numFmtId="0" fontId="37" fillId="0" borderId="0"/>
    <xf numFmtId="0" fontId="36" fillId="0" borderId="0"/>
    <xf numFmtId="3" fontId="37" fillId="5" borderId="21" applyAlignment="1">
      <alignment vertical="top"/>
    </xf>
    <xf numFmtId="0" fontId="11" fillId="6" borderId="0"/>
    <xf numFmtId="254" fontId="75" fillId="0" borderId="0"/>
    <xf numFmtId="255" fontId="26" fillId="0" borderId="0"/>
    <xf numFmtId="256" fontId="81" fillId="0" borderId="0"/>
    <xf numFmtId="257" fontId="37" fillId="0" borderId="0"/>
    <xf numFmtId="193" fontId="37" fillId="0" borderId="0"/>
    <xf numFmtId="258" fontId="37" fillId="0" borderId="0"/>
    <xf numFmtId="10" fontId="37" fillId="0" borderId="0"/>
    <xf numFmtId="259" fontId="81" fillId="0" borderId="0"/>
    <xf numFmtId="260" fontId="26" fillId="0" borderId="0"/>
    <xf numFmtId="261" fontId="81" fillId="0" borderId="0"/>
    <xf numFmtId="262" fontId="26" fillId="0" borderId="0"/>
    <xf numFmtId="263" fontId="81" fillId="0" borderId="0"/>
    <xf numFmtId="264" fontId="26" fillId="0" borderId="0"/>
    <xf numFmtId="9" fontId="35" fillId="0" borderId="0"/>
    <xf numFmtId="9" fontId="35" fillId="0" borderId="0"/>
    <xf numFmtId="9" fontId="35" fillId="0" borderId="0"/>
    <xf numFmtId="9" fontId="35" fillId="0" borderId="0"/>
    <xf numFmtId="9" fontId="35" fillId="0" borderId="0"/>
    <xf numFmtId="9" fontId="106" fillId="0" borderId="0"/>
    <xf numFmtId="9" fontId="35" fillId="0" borderId="0"/>
    <xf numFmtId="9" fontId="35" fillId="0" borderId="0"/>
    <xf numFmtId="9" fontId="35" fillId="0" borderId="0"/>
    <xf numFmtId="9" fontId="35" fillId="0" borderId="0"/>
    <xf numFmtId="9" fontId="35" fillId="0" borderId="0"/>
    <xf numFmtId="9" fontId="35" fillId="0" borderId="0"/>
    <xf numFmtId="9" fontId="35" fillId="0" borderId="0"/>
    <xf numFmtId="9" fontId="48" fillId="0" borderId="33"/>
    <xf numFmtId="194" fontId="71" fillId="0" borderId="0"/>
    <xf numFmtId="190" fontId="71" fillId="0" borderId="0"/>
    <xf numFmtId="194" fontId="71" fillId="0" borderId="0"/>
    <xf numFmtId="195" fontId="71" fillId="0" borderId="0"/>
    <xf numFmtId="190" fontId="71" fillId="0" borderId="0"/>
    <xf numFmtId="0" fontId="128" fillId="0" borderId="0"/>
    <xf numFmtId="0" fontId="129" fillId="0" borderId="0"/>
    <xf numFmtId="0" fontId="48" fillId="0" borderId="0" applyAlignment="1">
      <alignment horizontal="left"/>
    </xf>
    <xf numFmtId="0" fontId="130" fillId="0" borderId="10" applyAlignment="1">
      <alignment horizontal="center"/>
    </xf>
    <xf numFmtId="265" fontId="37" fillId="0" borderId="0" applyAlignment="1">
      <alignment horizontal="left"/>
    </xf>
    <xf numFmtId="176" fontId="52" fillId="0" borderId="0"/>
    <xf numFmtId="0" fontId="35" fillId="0" borderId="0"/>
    <xf numFmtId="4" fontId="131" fillId="10" borderId="34" applyAlignment="1">
      <alignment vertical="center"/>
    </xf>
    <xf numFmtId="4" fontId="132" fillId="10" borderId="34" applyAlignment="1">
      <alignment vertical="center"/>
    </xf>
    <xf numFmtId="4" fontId="133" fillId="10" borderId="34" applyAlignment="1">
      <alignment horizontal="left" vertical="center" indent="1"/>
    </xf>
    <xf numFmtId="4" fontId="133" fillId="11" borderId="0" applyAlignment="1">
      <alignment horizontal="left" vertical="center" indent="1"/>
    </xf>
    <xf numFmtId="4" fontId="133" fillId="12" borderId="34" applyAlignment="1">
      <alignment horizontal="right" vertical="center"/>
    </xf>
    <xf numFmtId="4" fontId="133" fillId="13" borderId="34" applyAlignment="1">
      <alignment horizontal="right" vertical="center"/>
    </xf>
    <xf numFmtId="4" fontId="133" fillId="14" borderId="34" applyAlignment="1">
      <alignment horizontal="right" vertical="center"/>
    </xf>
    <xf numFmtId="4" fontId="133" fillId="7" borderId="34" applyAlignment="1">
      <alignment horizontal="right" vertical="center"/>
    </xf>
    <xf numFmtId="4" fontId="133" fillId="15" borderId="34" applyAlignment="1">
      <alignment horizontal="right" vertical="center"/>
    </xf>
    <xf numFmtId="4" fontId="133" fillId="16" borderId="34" applyAlignment="1">
      <alignment horizontal="right" vertical="center"/>
    </xf>
    <xf numFmtId="4" fontId="133" fillId="17" borderId="34" applyAlignment="1">
      <alignment horizontal="right" vertical="center"/>
    </xf>
    <xf numFmtId="4" fontId="133" fillId="18" borderId="34" applyAlignment="1">
      <alignment horizontal="right" vertical="center"/>
    </xf>
    <xf numFmtId="4" fontId="133" fillId="19" borderId="34" applyAlignment="1">
      <alignment horizontal="right" vertical="center"/>
    </xf>
    <xf numFmtId="4" fontId="131" fillId="20" borderId="35" applyAlignment="1">
      <alignment horizontal="left" vertical="center" indent="1"/>
    </xf>
    <xf numFmtId="4" fontId="131" fillId="21" borderId="0" applyAlignment="1">
      <alignment horizontal="left" vertical="center" indent="1"/>
    </xf>
    <xf numFmtId="4" fontId="131" fillId="11" borderId="0" applyAlignment="1">
      <alignment horizontal="left" vertical="center" indent="1"/>
    </xf>
    <xf numFmtId="4" fontId="133" fillId="21" borderId="34" applyAlignment="1">
      <alignment horizontal="right" vertical="center"/>
    </xf>
    <xf numFmtId="4" fontId="53" fillId="21" borderId="0" applyAlignment="1">
      <alignment horizontal="left" vertical="center" indent="1"/>
    </xf>
    <xf numFmtId="4" fontId="53" fillId="11" borderId="0" applyAlignment="1">
      <alignment horizontal="left" vertical="center" indent="1"/>
    </xf>
    <xf numFmtId="4" fontId="133" fillId="22" borderId="34" applyAlignment="1">
      <alignment vertical="center"/>
    </xf>
    <xf numFmtId="4" fontId="134" fillId="22" borderId="34" applyAlignment="1">
      <alignment vertical="center"/>
    </xf>
    <xf numFmtId="4" fontId="131" fillId="21" borderId="36" applyAlignment="1">
      <alignment horizontal="left" vertical="center" indent="1"/>
    </xf>
    <xf numFmtId="4" fontId="133" fillId="22" borderId="34" applyAlignment="1">
      <alignment horizontal="right" vertical="center"/>
    </xf>
    <xf numFmtId="4" fontId="134" fillId="22" borderId="34" applyAlignment="1">
      <alignment horizontal="right" vertical="center"/>
    </xf>
    <xf numFmtId="4" fontId="131" fillId="21" borderId="34" applyAlignment="1">
      <alignment horizontal="left" vertical="center" indent="1"/>
    </xf>
    <xf numFmtId="4" fontId="135" fillId="9" borderId="36" applyAlignment="1">
      <alignment horizontal="left" vertical="center" indent="1"/>
    </xf>
    <xf numFmtId="4" fontId="136" fillId="22" borderId="34" applyAlignment="1">
      <alignment horizontal="right" vertical="center"/>
    </xf>
    <xf numFmtId="266" fontId="48" fillId="0" borderId="0" applyAlignment="1">
      <alignment horizontal="center"/>
    </xf>
    <xf numFmtId="0" fontId="49" fillId="0" borderId="0"/>
    <xf numFmtId="164" fontId="77" fillId="0" borderId="0"/>
    <xf numFmtId="164" fontId="77" fillId="0" borderId="0"/>
    <xf numFmtId="41" fontId="52" fillId="0" borderId="0"/>
    <xf numFmtId="179" fontId="52" fillId="0" borderId="0"/>
    <xf numFmtId="176" fontId="52" fillId="0" borderId="0"/>
    <xf numFmtId="41" fontId="52" fillId="0" borderId="0"/>
    <xf numFmtId="42" fontId="52" fillId="0" borderId="0"/>
    <xf numFmtId="177" fontId="52" fillId="0" borderId="0"/>
    <xf numFmtId="164" fontId="77" fillId="0" borderId="0"/>
    <xf numFmtId="41" fontId="35" fillId="0" borderId="0"/>
    <xf numFmtId="41" fontId="35" fillId="0" borderId="0"/>
    <xf numFmtId="41" fontId="35" fillId="0" borderId="0"/>
    <xf numFmtId="164" fontId="77" fillId="0" borderId="0"/>
    <xf numFmtId="164" fontId="77" fillId="0" borderId="0"/>
    <xf numFmtId="41" fontId="35" fillId="0" borderId="0"/>
    <xf numFmtId="41" fontId="35" fillId="0" borderId="0"/>
    <xf numFmtId="0" fontId="137" fillId="0" borderId="0"/>
    <xf numFmtId="0" fontId="119" fillId="0" borderId="0"/>
    <xf numFmtId="0" fontId="138" fillId="8" borderId="0" applyAlignment="1">
      <alignment wrapText="1"/>
    </xf>
    <xf numFmtId="40" fontId="139" fillId="0" borderId="0" applyAlignment="1">
      <alignment horizontal="right"/>
    </xf>
    <xf numFmtId="0" fontId="140" fillId="0" borderId="0"/>
    <xf numFmtId="42" fontId="141" fillId="0" borderId="14" applyAlignment="1">
      <alignment horizontal="right" vertical="center"/>
    </xf>
    <xf numFmtId="267" fontId="35" fillId="0" borderId="14" applyAlignment="1">
      <alignment horizontal="right" vertical="center"/>
    </xf>
    <xf numFmtId="42" fontId="141"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8" fontId="142" fillId="0" borderId="14" applyAlignment="1">
      <alignment horizontal="right" vertical="center"/>
    </xf>
    <xf numFmtId="267" fontId="35" fillId="0" borderId="14" applyAlignment="1">
      <alignment horizontal="right" vertical="center"/>
    </xf>
    <xf numFmtId="267" fontId="35" fillId="0" borderId="14" applyAlignment="1">
      <alignment horizontal="right" vertical="center"/>
    </xf>
    <xf numFmtId="269" fontId="35" fillId="0" borderId="14" applyAlignment="1">
      <alignment horizontal="right" vertical="center"/>
    </xf>
    <xf numFmtId="270" fontId="52" fillId="0" borderId="14" applyAlignment="1">
      <alignment horizontal="right" vertical="center"/>
    </xf>
    <xf numFmtId="42" fontId="141" fillId="0" borderId="14" applyAlignment="1">
      <alignment horizontal="right" vertical="center"/>
    </xf>
    <xf numFmtId="42" fontId="141" fillId="0" borderId="14" applyAlignment="1">
      <alignment horizontal="right" vertical="center"/>
    </xf>
    <xf numFmtId="269" fontId="35" fillId="0" borderId="14" applyAlignment="1">
      <alignment horizontal="right" vertical="center"/>
    </xf>
    <xf numFmtId="42" fontId="141" fillId="0" borderId="14" applyAlignment="1">
      <alignment horizontal="right" vertical="center"/>
    </xf>
    <xf numFmtId="269" fontId="35" fillId="0" borderId="14" applyAlignment="1">
      <alignment horizontal="right" vertical="center"/>
    </xf>
    <xf numFmtId="270" fontId="52" fillId="0" borderId="14" applyAlignment="1">
      <alignment horizontal="right" vertical="center"/>
    </xf>
    <xf numFmtId="271" fontId="52" fillId="0" borderId="14" applyAlignment="1">
      <alignment horizontal="right" vertical="center"/>
    </xf>
    <xf numFmtId="270" fontId="52" fillId="0" borderId="14" applyAlignment="1">
      <alignment horizontal="right" vertical="center"/>
    </xf>
    <xf numFmtId="266" fontId="127" fillId="0" borderId="14" applyAlignment="1">
      <alignment horizontal="right" vertical="center"/>
    </xf>
    <xf numFmtId="270" fontId="52" fillId="0" borderId="14" applyAlignment="1">
      <alignment horizontal="right" vertical="center"/>
    </xf>
    <xf numFmtId="268" fontId="142"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9" fontId="35"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72" fontId="37"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9" fontId="35" fillId="0" borderId="14" applyAlignment="1">
      <alignment horizontal="right" vertical="center"/>
    </xf>
    <xf numFmtId="270" fontId="52"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70" fontId="52" fillId="0" borderId="14" applyAlignment="1">
      <alignment horizontal="right" vertical="center"/>
    </xf>
    <xf numFmtId="268" fontId="142"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7" fontId="35" fillId="0" borderId="14" applyAlignment="1">
      <alignment horizontal="right" vertical="center"/>
    </xf>
    <xf numFmtId="267"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73"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7"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7" fontId="35" fillId="0" borderId="14" applyAlignment="1">
      <alignment horizontal="right" vertical="center"/>
    </xf>
    <xf numFmtId="267"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8" fontId="142"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8" fontId="142"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7"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73" fontId="35" fillId="0" borderId="14" applyAlignment="1">
      <alignment horizontal="right" vertical="center"/>
    </xf>
    <xf numFmtId="268" fontId="142" fillId="0" borderId="14" applyAlignment="1">
      <alignment horizontal="right" vertical="center"/>
    </xf>
    <xf numFmtId="274" fontId="143" fillId="5" borderId="37"/>
    <xf numFmtId="267" fontId="35" fillId="0" borderId="14" applyAlignment="1">
      <alignment horizontal="right" vertical="center"/>
    </xf>
    <xf numFmtId="274" fontId="143" fillId="5" borderId="37"/>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7" fontId="35" fillId="0" borderId="14" applyAlignment="1">
      <alignment horizontal="right" vertical="center"/>
    </xf>
    <xf numFmtId="6" fontId="65" fillId="0" borderId="14" applyAlignment="1">
      <alignment horizontal="right" vertical="center"/>
    </xf>
    <xf numFmtId="6" fontId="65" fillId="0" borderId="14" applyAlignment="1">
      <alignment horizontal="right" vertical="center"/>
    </xf>
    <xf numFmtId="6" fontId="65" fillId="0" borderId="14" applyAlignment="1">
      <alignment horizontal="right" vertical="center"/>
    </xf>
    <xf numFmtId="42" fontId="141" fillId="0" borderId="14" applyAlignment="1">
      <alignment horizontal="right" vertical="center"/>
    </xf>
    <xf numFmtId="196" fontId="89" fillId="0" borderId="19" applyProtection="1">
      <protection locked="1" hidden="1"/>
    </xf>
    <xf numFmtId="37" fontId="53" fillId="0" borderId="0"/>
    <xf numFmtId="49" fontId="53" fillId="0" borderId="0"/>
    <xf numFmtId="275" fontId="37" fillId="0" borderId="0"/>
    <xf numFmtId="276" fontId="37" fillId="0" borderId="0"/>
    <xf numFmtId="0" fontId="105" fillId="0" borderId="38"/>
    <xf numFmtId="0" fontId="144" fillId="0" borderId="0" applyAlignment="1" applyProtection="1">
      <alignment vertical="center" wrapText="1"/>
      <protection locked="0" hidden="0"/>
    </xf>
    <xf numFmtId="0" fontId="145" fillId="0" borderId="38"/>
    <xf numFmtId="0" fontId="105" fillId="0" borderId="38"/>
    <xf numFmtId="0" fontId="105" fillId="0" borderId="38"/>
    <xf numFmtId="0" fontId="127" fillId="0" borderId="0"/>
    <xf numFmtId="0" fontId="75" fillId="0" borderId="0"/>
    <xf numFmtId="0" fontId="146" fillId="0" borderId="0" applyAlignment="1">
      <alignment horizontal="left" vertical="top"/>
    </xf>
    <xf numFmtId="40" fontId="14" fillId="0" borderId="0"/>
    <xf numFmtId="0" fontId="92" fillId="0" borderId="23"/>
    <xf numFmtId="0" fontId="92" fillId="0" borderId="23"/>
    <xf numFmtId="0" fontId="92" fillId="0" borderId="23"/>
    <xf numFmtId="0" fontId="92" fillId="0" borderId="23"/>
    <xf numFmtId="0" fontId="37" fillId="0" borderId="0"/>
    <xf numFmtId="0" fontId="118" fillId="0" borderId="39" applyAlignment="1">
      <alignment horizontal="center"/>
    </xf>
    <xf numFmtId="41" fontId="37" fillId="0" borderId="0"/>
    <xf numFmtId="43" fontId="37" fillId="0" borderId="0"/>
    <xf numFmtId="277" fontId="37" fillId="0" borderId="3" applyAlignment="1" applyProtection="1">
      <alignment horizontal="center"/>
      <protection locked="0" hidden="0"/>
    </xf>
    <xf numFmtId="278" fontId="15" fillId="0" borderId="16" applyAlignment="1">
      <alignment horizontal="center"/>
    </xf>
    <xf numFmtId="38" fontId="37" fillId="0" borderId="1" applyProtection="1">
      <protection locked="0" hidden="0"/>
    </xf>
    <xf numFmtId="15" fontId="37" fillId="0" borderId="1" applyAlignment="1" applyProtection="1">
      <alignment horizontal="center"/>
      <protection locked="0" hidden="0"/>
    </xf>
    <xf numFmtId="10" fontId="37" fillId="0" borderId="1" applyAlignment="1" applyProtection="1">
      <alignment horizontal="center"/>
      <protection locked="0" hidden="0"/>
    </xf>
    <xf numFmtId="279" fontId="37" fillId="0" borderId="1" applyAlignment="1">
      <alignment horizontal="center"/>
    </xf>
    <xf numFmtId="240" fontId="115" fillId="0" borderId="0"/>
    <xf numFmtId="169" fontId="37" fillId="0" borderId="0"/>
    <xf numFmtId="194" fontId="37" fillId="0" borderId="0"/>
    <xf numFmtId="280" fontId="141" fillId="0" borderId="0"/>
    <xf numFmtId="281" fontId="141" fillId="0" borderId="1"/>
    <xf numFmtId="0" fontId="147" fillId="0" borderId="0"/>
    <xf numFmtId="0" fontId="148" fillId="0" borderId="0"/>
    <xf numFmtId="3" fontId="127" fillId="0" borderId="0" applyAlignment="1" applyProtection="1">
      <alignment horizontal="centerContinuous"/>
      <protection locked="0" hidden="0"/>
    </xf>
    <xf numFmtId="3" fontId="149" fillId="0" borderId="0" applyProtection="1">
      <protection locked="0" hidden="0"/>
    </xf>
    <xf numFmtId="0" fontId="147" fillId="0" borderId="0"/>
    <xf numFmtId="207" fontId="150" fillId="23" borderId="2" applyAlignment="1">
      <alignment vertical="top"/>
    </xf>
    <xf numFmtId="0" fontId="62" fillId="24" borderId="1" applyAlignment="1">
      <alignment horizontal="left" vertical="center"/>
    </xf>
    <xf numFmtId="175" fontId="151" fillId="25" borderId="2"/>
    <xf numFmtId="207" fontId="152" fillId="0" borderId="2" applyAlignment="1">
      <alignment horizontal="left" vertical="top"/>
    </xf>
    <xf numFmtId="0" fontId="153" fillId="26" borderId="0" applyAlignment="1">
      <alignment horizontal="left" vertical="center"/>
    </xf>
    <xf numFmtId="207" fontId="154" fillId="0" borderId="11" applyAlignment="1">
      <alignment horizontal="left" vertical="top"/>
    </xf>
    <xf numFmtId="0" fontId="155" fillId="0" borderId="11" applyAlignment="1">
      <alignment horizontal="left" vertical="center"/>
    </xf>
    <xf numFmtId="0" fontId="156" fillId="0" borderId="0"/>
    <xf numFmtId="282" fontId="37" fillId="0" borderId="0"/>
    <xf numFmtId="283" fontId="37" fillId="0" borderId="0"/>
    <xf numFmtId="42" fontId="94" fillId="0" borderId="0"/>
    <xf numFmtId="284" fontId="94" fillId="0" borderId="0"/>
    <xf numFmtId="0" fontId="157" fillId="0" borderId="0" applyAlignment="1">
      <alignment horizontal="center" vertical="center" wrapText="1"/>
    </xf>
    <xf numFmtId="0" fontId="37" fillId="0" borderId="0"/>
    <xf numFmtId="0" fontId="37" fillId="0" borderId="0"/>
    <xf numFmtId="0" fontId="158" fillId="0" borderId="0"/>
    <xf numFmtId="41" fontId="35" fillId="0" borderId="0"/>
    <xf numFmtId="0" fontId="35" fillId="0" borderId="0"/>
    <xf numFmtId="42" fontId="43" fillId="0" borderId="0"/>
    <xf numFmtId="173" fontId="43" fillId="0" borderId="0"/>
    <xf numFmtId="0" fontId="43" fillId="0" borderId="0"/>
    <xf numFmtId="40" fontId="159" fillId="0" borderId="0"/>
    <xf numFmtId="38" fontId="159" fillId="0" borderId="0"/>
    <xf numFmtId="0" fontId="159" fillId="0" borderId="0"/>
    <xf numFmtId="0" fontId="159" fillId="0" borderId="0"/>
    <xf numFmtId="9" fontId="160" fillId="0" borderId="0"/>
    <xf numFmtId="0" fontId="161" fillId="0" borderId="0"/>
    <xf numFmtId="0" fontId="92" fillId="0" borderId="0"/>
    <xf numFmtId="43" fontId="37" fillId="0" borderId="0"/>
    <xf numFmtId="41" fontId="80" fillId="0" borderId="0"/>
    <xf numFmtId="174" fontId="8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124" fillId="0" borderId="0"/>
    <xf numFmtId="0" fontId="124" fillId="0" borderId="0"/>
    <xf numFmtId="42" fontId="37" fillId="0" borderId="0"/>
    <xf numFmtId="173" fontId="37" fillId="0" borderId="0"/>
    <xf numFmtId="0" fontId="162" fillId="0" borderId="0"/>
    <xf numFmtId="0" fontId="163" fillId="0" borderId="0"/>
    <xf numFmtId="0" fontId="37" fillId="0" borderId="0"/>
    <xf numFmtId="0" fontId="164" fillId="0" borderId="0"/>
    <xf numFmtId="188" fontId="165" fillId="0" borderId="0"/>
    <xf numFmtId="186" fontId="165" fillId="0" borderId="0"/>
    <xf numFmtId="0" fontId="166" fillId="0" borderId="0"/>
    <xf numFmtId="285" fontId="80" fillId="0" borderId="0"/>
    <xf numFmtId="276" fontId="45" fillId="0" borderId="0"/>
    <xf numFmtId="286" fontId="80" fillId="0" borderId="0"/>
    <xf numFmtId="173" fontId="165" fillId="0" borderId="0"/>
    <xf numFmtId="42" fontId="165" fillId="0" borderId="0"/>
    <xf numFmtId="0" fontId="167" fillId="0" borderId="0"/>
    <xf numFmtId="0" fontId="167" fillId="0" borderId="0"/>
    <xf numFmtId="0" fontId="2" fillId="0" borderId="0" applyAlignment="1">
      <alignment vertical="center"/>
    </xf>
    <xf numFmtId="0" fontId="195" fillId="0" borderId="0"/>
    <xf numFmtId="43" fontId="16" fillId="0" borderId="0"/>
  </cellStyleXfs>
  <cellXfs count="716">
    <xf numFmtId="0" fontId="0" fillId="0" borderId="0" pivotButton="0" quotePrefix="0" xfId="0"/>
    <xf numFmtId="0" fontId="20" fillId="0" borderId="6" applyAlignment="1" pivotButton="0" quotePrefix="0" xfId="0">
      <alignment horizontal="center" vertical="top" wrapText="1"/>
    </xf>
    <xf numFmtId="0" fontId="18" fillId="0" borderId="7" applyAlignment="1" pivotButton="0" quotePrefix="0" xfId="0">
      <alignment horizontal="justify" vertical="top" wrapText="1"/>
    </xf>
    <xf numFmtId="0" fontId="18" fillId="0" borderId="8" applyAlignment="1" pivotButton="0" quotePrefix="0" xfId="0">
      <alignment horizontal="justify" vertical="top" wrapText="1"/>
    </xf>
    <xf numFmtId="0" fontId="18" fillId="0" borderId="8" applyAlignment="1" pivotButton="0" quotePrefix="0" xfId="0">
      <alignment horizontal="center" vertical="top" wrapText="1"/>
    </xf>
    <xf numFmtId="0" fontId="19" fillId="0" borderId="6" applyAlignment="1" pivotButton="0" quotePrefix="0" xfId="0">
      <alignment horizontal="center" wrapText="1"/>
    </xf>
    <xf numFmtId="0" fontId="19" fillId="0" borderId="6" applyAlignment="1" pivotButton="0" quotePrefix="0" xfId="0">
      <alignment horizontal="center" vertical="top" wrapText="1"/>
    </xf>
    <xf numFmtId="0" fontId="18" fillId="0" borderId="6" applyAlignment="1" pivotButton="0" quotePrefix="0" xfId="0">
      <alignment vertical="top" wrapText="1"/>
    </xf>
    <xf numFmtId="0" fontId="18" fillId="0" borderId="6" applyAlignment="1" pivotButton="0" quotePrefix="0" xfId="0">
      <alignment horizontal="center" vertical="top" wrapText="1"/>
    </xf>
    <xf numFmtId="0" fontId="18" fillId="0" borderId="5" applyAlignment="1" pivotButton="0" quotePrefix="0" xfId="0">
      <alignment horizontal="justify" vertical="top" wrapText="1"/>
    </xf>
    <xf numFmtId="0" fontId="18" fillId="0" borderId="6" applyAlignment="1" pivotButton="0" quotePrefix="0" xfId="0">
      <alignment horizontal="justify" vertical="top" wrapText="1"/>
    </xf>
    <xf numFmtId="0" fontId="18" fillId="0" borderId="9" applyAlignment="1" pivotButton="0" quotePrefix="0" xfId="0">
      <alignment horizontal="center" vertical="top" wrapText="1"/>
    </xf>
    <xf numFmtId="0" fontId="18" fillId="0" borderId="10" applyAlignment="1" pivotButton="0" quotePrefix="0" xfId="0">
      <alignment horizontal="center" vertical="top" wrapText="1"/>
    </xf>
    <xf numFmtId="0" fontId="19" fillId="0" borderId="6" applyAlignment="1" pivotButton="0" quotePrefix="0" xfId="0">
      <alignment horizontal="justify" vertical="top" wrapText="1"/>
    </xf>
    <xf numFmtId="0" fontId="19" fillId="0" borderId="10" applyAlignment="1" pivotButton="0" quotePrefix="0" xfId="0">
      <alignment horizontal="center" vertical="top" wrapText="1"/>
    </xf>
    <xf numFmtId="164" fontId="0" fillId="0" borderId="0" pivotButton="0" quotePrefix="0" xfId="0"/>
    <xf numFmtId="0" fontId="17" fillId="0" borderId="0" pivotButton="0" quotePrefix="0" xfId="0"/>
    <xf numFmtId="0" fontId="24" fillId="0" borderId="0" applyAlignment="1" pivotButton="0" quotePrefix="0" xfId="0">
      <alignment horizontal="left" vertical="center"/>
    </xf>
    <xf numFmtId="0" fontId="24" fillId="0" borderId="0" applyAlignment="1" pivotButton="0" quotePrefix="0" xfId="0">
      <alignment vertical="center"/>
    </xf>
    <xf numFmtId="43" fontId="24" fillId="0" borderId="0" applyAlignment="1" pivotButton="0" quotePrefix="0" xfId="1">
      <alignment vertical="center"/>
    </xf>
    <xf numFmtId="0" fontId="24" fillId="0" borderId="0" applyAlignment="1" pivotButton="0" quotePrefix="0" xfId="0">
      <alignment horizontal="center" vertical="center"/>
    </xf>
    <xf numFmtId="0" fontId="28" fillId="0" borderId="0" applyAlignment="1" pivotButton="0" quotePrefix="0" xfId="0">
      <alignment vertical="center"/>
    </xf>
    <xf numFmtId="43" fontId="28" fillId="0" borderId="0" applyAlignment="1" pivotButton="0" quotePrefix="0" xfId="1">
      <alignment vertical="center"/>
    </xf>
    <xf numFmtId="164" fontId="24" fillId="0" borderId="0" applyAlignment="1" pivotButton="0" quotePrefix="0" xfId="0">
      <alignment vertical="center"/>
    </xf>
    <xf numFmtId="37" fontId="24" fillId="0" borderId="0" applyAlignment="1" pivotButton="0" quotePrefix="0" xfId="1">
      <alignment vertical="center"/>
    </xf>
    <xf numFmtId="37" fontId="24" fillId="0" borderId="0" applyAlignment="1" pivotButton="0" quotePrefix="0" xfId="0">
      <alignment vertical="center"/>
    </xf>
    <xf numFmtId="0" fontId="24" fillId="0" borderId="0" applyAlignment="1" pivotButton="0" quotePrefix="0" xfId="0">
      <alignment vertical="center" wrapText="1"/>
    </xf>
    <xf numFmtId="3" fontId="24" fillId="0" borderId="0" applyAlignment="1" pivotButton="0" quotePrefix="0" xfId="0">
      <alignment vertical="center"/>
    </xf>
    <xf numFmtId="38" fontId="24" fillId="0" borderId="0" applyAlignment="1" pivotButton="0" quotePrefix="0" xfId="0">
      <alignment vertical="center"/>
    </xf>
    <xf numFmtId="164" fontId="24" fillId="0" borderId="0" applyAlignment="1" pivotButton="0" quotePrefix="0" xfId="1">
      <alignment vertical="center"/>
    </xf>
    <xf numFmtId="165" fontId="24" fillId="0" borderId="0" applyAlignment="1" pivotButton="0" quotePrefix="0" xfId="0">
      <alignment vertical="center"/>
    </xf>
    <xf numFmtId="164" fontId="17" fillId="0" borderId="0" pivotButton="0" quotePrefix="0" xfId="0"/>
    <xf numFmtId="164" fontId="24" fillId="2" borderId="0" applyAlignment="1" pivotButton="0" quotePrefix="0" xfId="1">
      <alignment horizontal="right" vertical="center"/>
    </xf>
    <xf numFmtId="164" fontId="30" fillId="2" borderId="1" applyAlignment="1" pivotButton="0" quotePrefix="0" xfId="1">
      <alignment horizontal="right" wrapText="1"/>
    </xf>
    <xf numFmtId="0" fontId="14" fillId="2" borderId="0" applyAlignment="1" pivotButton="0" quotePrefix="0" xfId="0">
      <alignment horizontal="left" vertical="top"/>
    </xf>
    <xf numFmtId="0" fontId="21" fillId="2" borderId="0" applyAlignment="1" pivotButton="0" quotePrefix="0" xfId="0">
      <alignment horizontal="left"/>
    </xf>
    <xf numFmtId="164" fontId="21" fillId="2" borderId="0" applyAlignment="1" pivotButton="0" quotePrefix="0" xfId="1">
      <alignment horizontal="center"/>
    </xf>
    <xf numFmtId="0" fontId="21" fillId="2" borderId="0" pivotButton="0" quotePrefix="0" xfId="0"/>
    <xf numFmtId="0" fontId="27" fillId="2" borderId="0" applyAlignment="1" pivotButton="0" quotePrefix="0" xfId="0">
      <alignment vertical="top" wrapText="1"/>
    </xf>
    <xf numFmtId="0" fontId="21" fillId="2" borderId="0" pivotButton="0" quotePrefix="0" xfId="0"/>
    <xf numFmtId="0" fontId="26" fillId="2" borderId="0" applyAlignment="1" pivotButton="0" quotePrefix="0" xfId="0">
      <alignment vertical="top"/>
    </xf>
    <xf numFmtId="0" fontId="21" fillId="2" borderId="0" applyAlignment="1" pivotButton="0" quotePrefix="0" xfId="0">
      <alignment vertical="top" wrapText="1"/>
    </xf>
    <xf numFmtId="164" fontId="26" fillId="2" borderId="0" applyAlignment="1" pivotButton="0" quotePrefix="0" xfId="1">
      <alignment horizontal="center" vertical="top"/>
    </xf>
    <xf numFmtId="0" fontId="22" fillId="2" borderId="1" applyAlignment="1" pivotButton="0" quotePrefix="0" xfId="0">
      <alignment horizontal="center" vertical="top" wrapText="1"/>
    </xf>
    <xf numFmtId="3" fontId="22" fillId="2" borderId="1" applyAlignment="1" pivotButton="0" quotePrefix="0" xfId="0">
      <alignment horizontal="right" vertical="top" wrapText="1"/>
    </xf>
    <xf numFmtId="0" fontId="23" fillId="2" borderId="1" applyAlignment="1" pivotButton="0" quotePrefix="0" xfId="0">
      <alignment horizontal="center" vertical="top" wrapText="1"/>
    </xf>
    <xf numFmtId="166" fontId="23" fillId="2" borderId="1" applyAlignment="1" pivotButton="0" quotePrefix="0" xfId="0">
      <alignment horizontal="center" vertical="top" wrapText="1"/>
    </xf>
    <xf numFmtId="164" fontId="23" fillId="2" borderId="1" applyAlignment="1" pivotButton="0" quotePrefix="0" xfId="1">
      <alignment vertical="top" wrapText="1"/>
    </xf>
    <xf numFmtId="0" fontId="22" fillId="2" borderId="1" applyAlignment="1" pivotButton="0" quotePrefix="0" xfId="0">
      <alignment horizontal="justify" vertical="top" wrapText="1"/>
    </xf>
    <xf numFmtId="164" fontId="22" fillId="2" borderId="1" applyAlignment="1" pivotButton="0" quotePrefix="0" xfId="1">
      <alignment horizontal="center" vertical="top" wrapText="1"/>
    </xf>
    <xf numFmtId="0" fontId="21" fillId="2" borderId="1" applyAlignment="1" pivotButton="0" quotePrefix="0" xfId="0">
      <alignment horizontal="justify" vertical="top" wrapText="1"/>
    </xf>
    <xf numFmtId="0" fontId="21" fillId="2" borderId="1" applyAlignment="1" pivotButton="0" quotePrefix="0" xfId="0">
      <alignment horizontal="center" vertical="top" wrapText="1"/>
    </xf>
    <xf numFmtId="164" fontId="22" fillId="2" borderId="1" applyAlignment="1" pivotButton="0" quotePrefix="0" xfId="1">
      <alignment horizontal="center" vertical="center"/>
    </xf>
    <xf numFmtId="164" fontId="21" fillId="2" borderId="0" pivotButton="0" quotePrefix="0" xfId="0"/>
    <xf numFmtId="0" fontId="25" fillId="2" borderId="1" applyAlignment="1" pivotButton="0" quotePrefix="0" xfId="0">
      <alignment horizontal="center" vertical="top" wrapText="1"/>
    </xf>
    <xf numFmtId="164" fontId="21" fillId="2" borderId="1" applyAlignment="1" pivotButton="0" quotePrefix="0" xfId="1">
      <alignment horizontal="center"/>
    </xf>
    <xf numFmtId="0" fontId="21" fillId="2" borderId="2" applyAlignment="1" pivotButton="0" quotePrefix="0" xfId="0">
      <alignment horizontal="center" vertical="top" wrapText="1"/>
    </xf>
    <xf numFmtId="43" fontId="21" fillId="2" borderId="0" pivotButton="0" quotePrefix="0" xfId="0"/>
    <xf numFmtId="43" fontId="21" fillId="2" borderId="0" pivotButton="0" quotePrefix="0" xfId="1"/>
    <xf numFmtId="0" fontId="21" fillId="2" borderId="1" applyAlignment="1" pivotButton="0" quotePrefix="0" xfId="0">
      <alignment vertical="top" wrapText="1"/>
    </xf>
    <xf numFmtId="0" fontId="21" fillId="2" borderId="3" applyAlignment="1" pivotButton="0" quotePrefix="0" xfId="0">
      <alignment horizontal="justify" vertical="top" wrapText="1"/>
    </xf>
    <xf numFmtId="0" fontId="22" fillId="2" borderId="3" applyAlignment="1" pivotButton="0" quotePrefix="0" xfId="0">
      <alignment horizontal="justify" vertical="top" wrapText="1"/>
    </xf>
    <xf numFmtId="0" fontId="22" fillId="2" borderId="1" applyAlignment="1" pivotButton="0" quotePrefix="0" xfId="0">
      <alignment horizontal="left" vertical="top" wrapText="1"/>
    </xf>
    <xf numFmtId="164" fontId="28" fillId="0" borderId="0" applyAlignment="1" pivotButton="0" quotePrefix="0" xfId="1">
      <alignment vertical="center"/>
    </xf>
    <xf numFmtId="164" fontId="28" fillId="0" borderId="0" applyAlignment="1" pivotButton="0" quotePrefix="0" xfId="0">
      <alignment vertical="center"/>
    </xf>
    <xf numFmtId="0" fontId="2" fillId="2" borderId="0" pivotButton="0" quotePrefix="0" xfId="0"/>
    <xf numFmtId="0" fontId="2" fillId="2" borderId="0" pivotButton="0" quotePrefix="0" xfId="0"/>
    <xf numFmtId="164" fontId="21" fillId="2" borderId="1" pivotButton="0" quotePrefix="0" xfId="1"/>
    <xf numFmtId="164" fontId="21" fillId="2" borderId="0" pivotButton="0" quotePrefix="0" xfId="1"/>
    <xf numFmtId="164" fontId="32" fillId="2" borderId="1" applyAlignment="1" pivotButton="0" quotePrefix="0" xfId="1">
      <alignment horizontal="justify" wrapText="1"/>
    </xf>
    <xf numFmtId="164" fontId="31" fillId="2" borderId="1" applyAlignment="1" pivotButton="0" quotePrefix="0" xfId="1">
      <alignment horizontal="right" wrapText="1"/>
    </xf>
    <xf numFmtId="164" fontId="34" fillId="2" borderId="0" pivotButton="0" quotePrefix="0" xfId="0"/>
    <xf numFmtId="164" fontId="21" fillId="0" borderId="1" applyAlignment="1" pivotButton="0" quotePrefix="0" xfId="1">
      <alignment horizontal="center" vertical="center" wrapText="1"/>
    </xf>
    <xf numFmtId="3" fontId="21" fillId="0" borderId="1" applyAlignment="1" pivotButton="0" quotePrefix="0" xfId="0">
      <alignment horizontal="center" vertical="center" wrapText="1"/>
    </xf>
    <xf numFmtId="0" fontId="21" fillId="0" borderId="1" applyAlignment="1" pivotButton="0" quotePrefix="0" xfId="0">
      <alignment horizontal="justify" vertical="center" wrapText="1"/>
    </xf>
    <xf numFmtId="0" fontId="22" fillId="0" borderId="1" applyAlignment="1" pivotButton="0" quotePrefix="0" xfId="0">
      <alignment horizontal="center" vertical="center" wrapText="1"/>
    </xf>
    <xf numFmtId="164" fontId="21" fillId="2" borderId="0" pivotButton="0" quotePrefix="0" xfId="1"/>
    <xf numFmtId="0" fontId="22" fillId="2" borderId="1" applyAlignment="1" pivotButton="0" quotePrefix="0" xfId="0">
      <alignment horizontal="center" vertical="top" wrapText="1"/>
    </xf>
    <xf numFmtId="0" fontId="5" fillId="2" borderId="0" applyAlignment="1" pivotButton="0" quotePrefix="0" xfId="0">
      <alignment horizontal="left" vertical="top"/>
    </xf>
    <xf numFmtId="0" fontId="0" fillId="2" borderId="0" pivotButton="0" quotePrefix="0" xfId="0"/>
    <xf numFmtId="0" fontId="0" fillId="2" borderId="0" pivotButton="0" quotePrefix="0" xfId="0"/>
    <xf numFmtId="0" fontId="6" fillId="2" borderId="0" pivotButton="0" quotePrefix="0" xfId="0"/>
    <xf numFmtId="0" fontId="7" fillId="2" borderId="0" applyAlignment="1" pivotButton="0" quotePrefix="0" xfId="0">
      <alignment vertical="top"/>
    </xf>
    <xf numFmtId="0" fontId="8" fillId="2" borderId="0" applyAlignment="1" pivotButton="0" quotePrefix="0" xfId="0">
      <alignment horizontal="center"/>
    </xf>
    <xf numFmtId="0" fontId="9" fillId="2" borderId="0" applyAlignment="1" pivotButton="0" quotePrefix="0" xfId="0">
      <alignment horizontal="center"/>
    </xf>
    <xf numFmtId="166" fontId="20" fillId="2" borderId="5" applyAlignment="1" pivotButton="0" quotePrefix="0" xfId="0">
      <alignment horizontal="center" vertical="top" wrapText="1"/>
    </xf>
    <xf numFmtId="166" fontId="23" fillId="2" borderId="5" applyAlignment="1" pivotButton="0" quotePrefix="0" xfId="0">
      <alignment horizontal="center" vertical="top" wrapText="1"/>
    </xf>
    <xf numFmtId="0" fontId="18" fillId="2" borderId="1" applyAlignment="1" pivotButton="0" quotePrefix="0" xfId="0">
      <alignment horizontal="center" vertical="top" wrapText="1"/>
    </xf>
    <xf numFmtId="0" fontId="18" fillId="2" borderId="1" applyAlignment="1" pivotButton="0" quotePrefix="0" xfId="0">
      <alignment horizontal="left" vertical="top" wrapText="1"/>
    </xf>
    <xf numFmtId="0" fontId="19" fillId="2" borderId="1" applyAlignment="1" pivotButton="0" quotePrefix="0" xfId="0">
      <alignment horizontal="center" vertical="top" wrapText="1"/>
    </xf>
    <xf numFmtId="0" fontId="19" fillId="2" borderId="1" applyAlignment="1" pivotButton="0" quotePrefix="0" xfId="0">
      <alignment horizontal="left" vertical="top" wrapText="1"/>
    </xf>
    <xf numFmtId="0" fontId="19" fillId="2" borderId="1" applyAlignment="1" pivotButton="0" quotePrefix="0" xfId="0">
      <alignment horizontal="justify" vertical="top" wrapText="1"/>
    </xf>
    <xf numFmtId="164" fontId="0" fillId="2" borderId="0" pivotButton="0" quotePrefix="0" xfId="0"/>
    <xf numFmtId="164" fontId="16" fillId="2" borderId="0" pivotButton="0" quotePrefix="0" xfId="1"/>
    <xf numFmtId="0" fontId="22" fillId="2" borderId="1" applyAlignment="1" pivotButton="0" quotePrefix="0" xfId="0">
      <alignment horizontal="center" vertical="top" wrapText="1"/>
    </xf>
    <xf numFmtId="164" fontId="22" fillId="2" borderId="1" applyAlignment="1" pivotButton="0" quotePrefix="0" xfId="1">
      <alignment horizontal="center" vertical="top" wrapText="1"/>
    </xf>
    <xf numFmtId="164" fontId="21" fillId="2" borderId="1" applyAlignment="1" pivotButton="0" quotePrefix="0" xfId="1">
      <alignment horizontal="center" vertical="top" wrapText="1"/>
    </xf>
    <xf numFmtId="164" fontId="6" fillId="2" borderId="0" applyAlignment="1" pivotButton="0" quotePrefix="0" xfId="1">
      <alignment horizontal="right" vertical="center" wrapText="1"/>
    </xf>
    <xf numFmtId="164" fontId="24" fillId="2" borderId="0" applyAlignment="1" pivotButton="0" quotePrefix="0" xfId="1">
      <alignment horizontal="left" vertical="center"/>
    </xf>
    <xf numFmtId="164" fontId="24" fillId="2" borderId="0" applyAlignment="1" pivotButton="0" quotePrefix="0" xfId="1">
      <alignment vertical="center"/>
    </xf>
    <xf numFmtId="164" fontId="21" fillId="2" borderId="1" applyAlignment="1" pivotButton="0" quotePrefix="0" xfId="1">
      <alignment horizontal="center" vertical="top" wrapText="1"/>
    </xf>
    <xf numFmtId="0" fontId="0" fillId="0" borderId="1" pivotButton="0" quotePrefix="0" xfId="0"/>
    <xf numFmtId="164" fontId="2" fillId="3" borderId="1" applyAlignment="1" pivotButton="0" quotePrefix="0" xfId="1">
      <alignment horizontal="right" vertical="center" wrapText="1"/>
    </xf>
    <xf numFmtId="0" fontId="6" fillId="2" borderId="0" applyAlignment="1" pivotButton="0" quotePrefix="0" xfId="0">
      <alignment horizontal="center"/>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43" fontId="0" fillId="0" borderId="1" pivotButton="0" quotePrefix="0" xfId="1"/>
    <xf numFmtId="43" fontId="0" fillId="0" borderId="0" pivotButton="0" quotePrefix="0" xfId="1"/>
    <xf numFmtId="0" fontId="14" fillId="0" borderId="0" applyAlignment="1" pivotButton="0" quotePrefix="0" xfId="0">
      <alignment vertical="center"/>
    </xf>
    <xf numFmtId="0" fontId="26" fillId="0" borderId="0" applyAlignment="1" pivotButton="0" quotePrefix="0" xfId="0">
      <alignment horizontal="center" vertical="center"/>
    </xf>
    <xf numFmtId="0" fontId="26" fillId="0" borderId="0" applyAlignment="1" pivotButton="0" quotePrefix="0" xfId="0">
      <alignment vertical="center"/>
    </xf>
    <xf numFmtId="0" fontId="6" fillId="0" borderId="0" applyAlignment="1" pivotButton="0" quotePrefix="0" xfId="0">
      <alignment horizontal="center" vertical="center"/>
    </xf>
    <xf numFmtId="0" fontId="27" fillId="0" borderId="0" applyAlignment="1" pivotButton="0" quotePrefix="0" xfId="0">
      <alignment horizontal="left" vertical="center"/>
    </xf>
    <xf numFmtId="164" fontId="14" fillId="2" borderId="1" applyAlignment="1" pivotButton="0" quotePrefix="0" xfId="1">
      <alignment horizontal="right" vertical="center" wrapText="1"/>
    </xf>
    <xf numFmtId="164" fontId="14" fillId="2" borderId="1" applyAlignment="1" pivotButton="0" quotePrefix="0" xfId="1">
      <alignment horizontal="center" vertical="center" wrapText="1"/>
    </xf>
    <xf numFmtId="0" fontId="14" fillId="0" borderId="1" applyAlignment="1" pivotButton="0" quotePrefix="0" xfId="0">
      <alignment horizontal="center" vertical="center" wrapText="1"/>
    </xf>
    <xf numFmtId="0" fontId="14" fillId="0" borderId="6" applyAlignment="1" pivotButton="0" quotePrefix="0" xfId="0">
      <alignment horizontal="justify" vertical="center" wrapText="1"/>
    </xf>
    <xf numFmtId="0" fontId="14" fillId="0" borderId="1" applyAlignment="1" pivotButton="0" quotePrefix="0" xfId="0">
      <alignment horizontal="justify" vertical="center" wrapText="1"/>
    </xf>
    <xf numFmtId="0" fontId="14" fillId="0" borderId="6" applyAlignment="1" pivotButton="0" quotePrefix="0" xfId="0">
      <alignment horizontal="center" vertical="center" wrapText="1"/>
    </xf>
    <xf numFmtId="0" fontId="26" fillId="0" borderId="1" applyAlignment="1" pivotButton="0" quotePrefix="0" xfId="0">
      <alignment horizontal="center" vertical="center" wrapText="1"/>
    </xf>
    <xf numFmtId="0" fontId="26" fillId="0" borderId="1" applyAlignment="1" pivotButton="0" quotePrefix="0" xfId="0">
      <alignment horizontal="justify" vertical="center" wrapText="1"/>
    </xf>
    <xf numFmtId="0" fontId="26" fillId="0" borderId="6" applyAlignment="1" pivotButton="0" quotePrefix="0" xfId="0">
      <alignment horizontal="justify" vertical="center" wrapText="1"/>
    </xf>
    <xf numFmtId="164" fontId="26" fillId="2" borderId="1" applyAlignment="1" pivotButton="0" quotePrefix="0" xfId="1">
      <alignment horizontal="right" vertical="center" wrapText="1"/>
    </xf>
    <xf numFmtId="3" fontId="26" fillId="2" borderId="1" applyAlignment="1" pivotButton="0" quotePrefix="0" xfId="0">
      <alignment horizontal="right" vertical="center" wrapText="1"/>
    </xf>
    <xf numFmtId="0" fontId="26" fillId="0" borderId="6" applyAlignment="1" pivotButton="0" quotePrefix="0" xfId="0">
      <alignment vertical="center" wrapText="1"/>
    </xf>
    <xf numFmtId="164" fontId="26" fillId="2" borderId="3" applyAlignment="1" pivotButton="0" quotePrefix="0" xfId="1">
      <alignment horizontal="right" vertical="center" wrapText="1"/>
    </xf>
    <xf numFmtId="164" fontId="14" fillId="0" borderId="1" applyAlignment="1" pivotButton="0" quotePrefix="0" xfId="1">
      <alignment horizontal="right" vertical="center" wrapText="1"/>
    </xf>
    <xf numFmtId="0" fontId="26" fillId="0" borderId="6" applyAlignment="1" pivotButton="0" quotePrefix="0" xfId="0">
      <alignment horizontal="center" vertical="center" wrapText="1"/>
    </xf>
    <xf numFmtId="164" fontId="26" fillId="2" borderId="1" pivotButton="0" quotePrefix="0" xfId="1"/>
    <xf numFmtId="38" fontId="26" fillId="0" borderId="1" applyAlignment="1" pivotButton="0" quotePrefix="0" xfId="0">
      <alignment horizontal="right" vertical="center" wrapText="1"/>
    </xf>
    <xf numFmtId="38" fontId="14" fillId="0" borderId="1" applyAlignment="1" pivotButton="0" quotePrefix="0" xfId="0">
      <alignment horizontal="right" vertical="center" wrapText="1"/>
    </xf>
    <xf numFmtId="0" fontId="6" fillId="0" borderId="1" applyAlignment="1" pivotButton="0" quotePrefix="0" xfId="0">
      <alignment horizontal="center" vertical="center" wrapText="1"/>
    </xf>
    <xf numFmtId="164" fontId="6" fillId="2" borderId="1" applyAlignment="1" pivotButton="0" quotePrefix="0" xfId="1">
      <alignment horizontal="right" vertical="center" wrapText="1"/>
    </xf>
    <xf numFmtId="0" fontId="6" fillId="0" borderId="6" applyAlignment="1" pivotButton="0" quotePrefix="0" xfId="0">
      <alignment horizontal="justify" vertical="center" wrapText="1"/>
    </xf>
    <xf numFmtId="0" fontId="6" fillId="0" borderId="6" applyAlignment="1" pivotButton="0" quotePrefix="0" xfId="0">
      <alignment horizontal="center" vertical="center" wrapText="1"/>
    </xf>
    <xf numFmtId="0" fontId="26" fillId="0" borderId="2" applyAlignment="1" pivotButton="0" quotePrefix="0" xfId="0">
      <alignment horizontal="center" vertical="center" wrapText="1"/>
    </xf>
    <xf numFmtId="0" fontId="26" fillId="0" borderId="5" applyAlignment="1" pivotButton="0" quotePrefix="0" xfId="0">
      <alignment vertical="center" wrapText="1"/>
    </xf>
    <xf numFmtId="0" fontId="26" fillId="0" borderId="8" applyAlignment="1" pivotButton="0" quotePrefix="0" xfId="0">
      <alignment horizontal="center" vertical="center" wrapText="1"/>
    </xf>
    <xf numFmtId="3" fontId="26" fillId="0" borderId="2" applyAlignment="1" pivotButton="0" quotePrefix="0" xfId="0">
      <alignment horizontal="right" vertical="center" wrapText="1"/>
    </xf>
    <xf numFmtId="0" fontId="14" fillId="0" borderId="6" applyAlignment="1" pivotButton="0" quotePrefix="0" xfId="0">
      <alignment vertical="center" wrapText="1"/>
    </xf>
    <xf numFmtId="0" fontId="14" fillId="0" borderId="5" applyAlignment="1" pivotButton="0" quotePrefix="0" xfId="0">
      <alignment horizontal="center" vertical="center" wrapText="1"/>
    </xf>
    <xf numFmtId="0" fontId="26" fillId="0" borderId="1" pivotButton="0" quotePrefix="0" xfId="0"/>
    <xf numFmtId="0" fontId="27" fillId="0" borderId="1" applyAlignment="1" pivotButton="0" quotePrefix="0" xfId="0">
      <alignment horizontal="left" indent="2"/>
    </xf>
    <xf numFmtId="0" fontId="171" fillId="0" borderId="15" pivotButton="0" quotePrefix="0" xfId="0"/>
    <xf numFmtId="0" fontId="171" fillId="0" borderId="15" applyAlignment="1" pivotButton="0" quotePrefix="0" xfId="0">
      <alignment horizontal="left" wrapText="1"/>
    </xf>
    <xf numFmtId="0" fontId="14" fillId="0" borderId="5" applyAlignment="1" pivotButton="0" quotePrefix="0" xfId="0">
      <alignment horizontal="justify" vertical="center" wrapText="1"/>
    </xf>
    <xf numFmtId="164" fontId="75" fillId="0" borderId="0" applyAlignment="1" pivotButton="0" quotePrefix="0" xfId="1">
      <alignment horizontal="center" wrapText="1"/>
    </xf>
    <xf numFmtId="0" fontId="172" fillId="0" borderId="0" applyAlignment="1" pivotButton="0" quotePrefix="0" xfId="0">
      <alignment horizontal="center" vertical="center"/>
    </xf>
    <xf numFmtId="0" fontId="26" fillId="0" borderId="0" applyAlignment="1" pivotButton="0" quotePrefix="0" xfId="0">
      <alignment horizontal="center" vertical="center" wrapText="1"/>
    </xf>
    <xf numFmtId="0" fontId="14" fillId="0" borderId="0" applyAlignment="1" pivotButton="0" quotePrefix="0" xfId="0">
      <alignment horizontal="justify" vertical="center" wrapText="1"/>
    </xf>
    <xf numFmtId="0" fontId="27" fillId="0" borderId="0" applyAlignment="1" pivotButton="0" quotePrefix="0" xfId="0">
      <alignment horizontal="center" vertical="center" wrapText="1"/>
    </xf>
    <xf numFmtId="164" fontId="27" fillId="2" borderId="0" applyAlignment="1" pivotButton="0" quotePrefix="0" xfId="1">
      <alignment horizontal="right" vertical="center" wrapText="1"/>
    </xf>
    <xf numFmtId="164" fontId="27" fillId="2" borderId="0" applyAlignment="1" pivotButton="0" quotePrefix="0" xfId="1">
      <alignment horizontal="center" vertical="center" wrapText="1"/>
    </xf>
    <xf numFmtId="0" fontId="14" fillId="0" borderId="0" applyAlignment="1" pivotButton="0" quotePrefix="0" xfId="0">
      <alignment horizontal="center" vertical="center" wrapText="1"/>
    </xf>
    <xf numFmtId="0" fontId="26" fillId="2" borderId="0" pivotButton="0" quotePrefix="0" xfId="0"/>
    <xf numFmtId="0" fontId="26" fillId="2" borderId="0" applyAlignment="1" pivotButton="0" quotePrefix="0" xfId="0">
      <alignment horizontal="justify"/>
    </xf>
    <xf numFmtId="0" fontId="26" fillId="2" borderId="0" applyAlignment="1" pivotButton="0" quotePrefix="0" xfId="0">
      <alignment horizontal="left"/>
    </xf>
    <xf numFmtId="0" fontId="26" fillId="2" borderId="0" pivotButton="0" quotePrefix="0" xfId="0"/>
    <xf numFmtId="0" fontId="14" fillId="2" borderId="0" applyAlignment="1" pivotButton="0" quotePrefix="0" xfId="0">
      <alignment horizontal="justify"/>
    </xf>
    <xf numFmtId="0" fontId="22" fillId="2" borderId="0" applyAlignment="1" pivotButton="0" quotePrefix="0" xfId="0">
      <alignment horizontal="left" vertical="center"/>
    </xf>
    <xf numFmtId="164" fontId="22" fillId="2" borderId="0" applyAlignment="1" pivotButton="0" quotePrefix="0" xfId="1">
      <alignment horizontal="left" vertical="center"/>
    </xf>
    <xf numFmtId="0" fontId="32" fillId="2" borderId="1" applyAlignment="1" pivotButton="0" quotePrefix="0" xfId="0">
      <alignment horizontal="center"/>
    </xf>
    <xf numFmtId="164" fontId="32" fillId="2" borderId="1" applyAlignment="1" pivotButton="0" quotePrefix="0" xfId="1">
      <alignment horizontal="center"/>
    </xf>
    <xf numFmtId="0" fontId="32" fillId="2" borderId="1" pivotButton="0" quotePrefix="0" xfId="0"/>
    <xf numFmtId="164" fontId="32" fillId="2" borderId="1" applyAlignment="1" pivotButton="0" quotePrefix="0" xfId="1">
      <alignment horizontal="right"/>
    </xf>
    <xf numFmtId="0" fontId="173" fillId="2" borderId="1" pivotButton="0" quotePrefix="0" xfId="0"/>
    <xf numFmtId="0" fontId="173" fillId="2" borderId="0" pivotButton="0" quotePrefix="0" xfId="0"/>
    <xf numFmtId="164" fontId="173" fillId="2" borderId="0" applyAlignment="1" pivotButton="0" quotePrefix="0" xfId="1">
      <alignment horizontal="right"/>
    </xf>
    <xf numFmtId="0" fontId="173" fillId="2" borderId="1" applyAlignment="1" pivotButton="0" quotePrefix="0" xfId="0">
      <alignment horizontal="center"/>
    </xf>
    <xf numFmtId="164" fontId="173" fillId="2" borderId="1" applyAlignment="1" pivotButton="0" quotePrefix="0" xfId="1">
      <alignment horizontal="center"/>
    </xf>
    <xf numFmtId="0" fontId="32" fillId="2" borderId="1" applyAlignment="1" pivotButton="0" quotePrefix="0" xfId="0">
      <alignment horizontal="left" indent="5"/>
    </xf>
    <xf numFmtId="4" fontId="32" fillId="2" borderId="1" applyAlignment="1" pivotButton="0" quotePrefix="0" xfId="0">
      <alignment horizontal="right"/>
    </xf>
    <xf numFmtId="0" fontId="22" fillId="2" borderId="0" applyAlignment="1" pivotButton="0" quotePrefix="0" xfId="0">
      <alignment horizontal="justify"/>
    </xf>
    <xf numFmtId="0" fontId="173" fillId="2" borderId="1" applyAlignment="1" pivotButton="0" quotePrefix="0" xfId="0">
      <alignment horizontal="center" vertical="center" wrapText="1"/>
    </xf>
    <xf numFmtId="164" fontId="173" fillId="2" borderId="1" applyAlignment="1" pivotButton="0" quotePrefix="0" xfId="1">
      <alignment horizontal="center" vertical="center" wrapText="1"/>
    </xf>
    <xf numFmtId="0" fontId="21" fillId="2" borderId="0" applyAlignment="1" pivotButton="0" quotePrefix="0" xfId="0">
      <alignment wrapText="1"/>
    </xf>
    <xf numFmtId="0" fontId="22" fillId="2" borderId="0" pivotButton="0" quotePrefix="0" xfId="0"/>
    <xf numFmtId="164" fontId="21" fillId="2" borderId="0" applyAlignment="1" pivotButton="0" quotePrefix="0" xfId="1">
      <alignment vertical="center"/>
    </xf>
    <xf numFmtId="0" fontId="173" fillId="2" borderId="0" applyAlignment="1" pivotButton="0" quotePrefix="0" xfId="0">
      <alignment horizontal="center"/>
    </xf>
    <xf numFmtId="0" fontId="14" fillId="2" borderId="0" applyAlignment="1" pivotButton="0" quotePrefix="0" xfId="0">
      <alignment horizontal="justify" vertical="center"/>
    </xf>
    <xf numFmtId="3" fontId="26" fillId="2" borderId="0" applyAlignment="1" pivotButton="0" quotePrefix="0" xfId="0">
      <alignment horizontal="right" vertical="center"/>
    </xf>
    <xf numFmtId="164" fontId="26" fillId="2" borderId="0" applyAlignment="1" pivotButton="0" quotePrefix="0" xfId="1">
      <alignment vertical="center"/>
    </xf>
    <xf numFmtId="3" fontId="26" fillId="2" borderId="0" applyAlignment="1" pivotButton="0" quotePrefix="0" xfId="0">
      <alignment vertical="center"/>
    </xf>
    <xf numFmtId="0" fontId="14" fillId="2" borderId="1" applyAlignment="1" pivotButton="0" quotePrefix="0" xfId="0">
      <alignment horizontal="center" vertical="center" wrapText="1"/>
    </xf>
    <xf numFmtId="3" fontId="14" fillId="2" borderId="1" applyAlignment="1" pivotButton="0" quotePrefix="0" xfId="0">
      <alignment horizontal="center" vertical="center" wrapText="1"/>
    </xf>
    <xf numFmtId="0" fontId="26" fillId="2" borderId="1" applyAlignment="1" pivotButton="0" quotePrefix="0" xfId="0">
      <alignment horizontal="left" vertical="center" wrapText="1"/>
    </xf>
    <xf numFmtId="164" fontId="26" fillId="2" borderId="1" applyAlignment="1" pivotButton="0" quotePrefix="0" xfId="1">
      <alignment horizontal="center" vertical="center" wrapText="1"/>
    </xf>
    <xf numFmtId="164" fontId="26" fillId="2" borderId="0" pivotButton="0" quotePrefix="0" xfId="1"/>
    <xf numFmtId="0" fontId="32" fillId="2" borderId="1" applyAlignment="1" pivotButton="0" quotePrefix="0" xfId="0">
      <alignment wrapText="1"/>
    </xf>
    <xf numFmtId="3" fontId="32" fillId="2" borderId="1" applyAlignment="1" pivotButton="0" quotePrefix="0" xfId="0">
      <alignment horizontal="right" wrapText="1"/>
    </xf>
    <xf numFmtId="164" fontId="32" fillId="2" borderId="3" applyAlignment="1" pivotButton="0" quotePrefix="0" xfId="1">
      <alignment horizontal="right" wrapText="1"/>
    </xf>
    <xf numFmtId="164" fontId="32" fillId="2" borderId="1" applyAlignment="1" pivotButton="0" quotePrefix="0" xfId="1">
      <alignment horizontal="right" wrapText="1"/>
    </xf>
    <xf numFmtId="0" fontId="21" fillId="2" borderId="1" applyAlignment="1" pivotButton="0" quotePrefix="0" xfId="0">
      <alignment wrapText="1"/>
    </xf>
    <xf numFmtId="164" fontId="21" fillId="2" borderId="3" applyAlignment="1" pivotButton="0" quotePrefix="0" xfId="1">
      <alignment wrapText="1"/>
    </xf>
    <xf numFmtId="164" fontId="21" fillId="2" borderId="1" applyAlignment="1" pivotButton="0" quotePrefix="0" xfId="1">
      <alignment wrapText="1"/>
    </xf>
    <xf numFmtId="164" fontId="21" fillId="2" borderId="1" applyAlignment="1" pivotButton="0" quotePrefix="0" xfId="0">
      <alignment wrapText="1"/>
    </xf>
    <xf numFmtId="43" fontId="21" fillId="2" borderId="1" applyAlignment="1" pivotButton="0" quotePrefix="0" xfId="0">
      <alignment wrapText="1"/>
    </xf>
    <xf numFmtId="0" fontId="173" fillId="2" borderId="1" applyAlignment="1" pivotButton="0" quotePrefix="0" xfId="0">
      <alignment wrapText="1"/>
    </xf>
    <xf numFmtId="164" fontId="173" fillId="2" borderId="3" applyAlignment="1" pivotButton="0" quotePrefix="0" xfId="1">
      <alignment horizontal="right" wrapText="1"/>
    </xf>
    <xf numFmtId="0" fontId="32" fillId="2" borderId="1" applyAlignment="1" pivotButton="0" quotePrefix="0" xfId="0">
      <alignment horizontal="center" wrapText="1"/>
    </xf>
    <xf numFmtId="0" fontId="32" fillId="2" borderId="1" applyAlignment="1" pivotButton="0" quotePrefix="0" xfId="0">
      <alignment horizontal="justify" wrapText="1"/>
    </xf>
    <xf numFmtId="0" fontId="173" fillId="2" borderId="1" applyAlignment="1" pivotButton="0" quotePrefix="0" xfId="0">
      <alignment horizontal="center" wrapText="1"/>
    </xf>
    <xf numFmtId="0" fontId="173" fillId="2" borderId="0" applyAlignment="1" pivotButton="0" quotePrefix="0" xfId="0">
      <alignment horizontal="center" wrapText="1"/>
    </xf>
    <xf numFmtId="164" fontId="173" fillId="2" borderId="0" applyAlignment="1" pivotButton="0" quotePrefix="0" xfId="1">
      <alignment horizontal="right" wrapText="1"/>
    </xf>
    <xf numFmtId="0" fontId="32" fillId="2" borderId="1" applyAlignment="1" pivotButton="0" quotePrefix="0" xfId="0">
      <alignment horizontal="center" vertical="center" wrapText="1"/>
    </xf>
    <xf numFmtId="164" fontId="32" fillId="2" borderId="1" applyAlignment="1" pivotButton="0" quotePrefix="0" xfId="1">
      <alignment horizontal="center" vertical="center" wrapText="1"/>
    </xf>
    <xf numFmtId="164" fontId="22" fillId="2" borderId="0" pivotButton="0" quotePrefix="0" xfId="1"/>
    <xf numFmtId="164" fontId="173" fillId="2" borderId="1" applyAlignment="1" pivotButton="0" quotePrefix="0" xfId="1">
      <alignment horizontal="center" wrapText="1"/>
    </xf>
    <xf numFmtId="0" fontId="32" fillId="2" borderId="0" pivotButton="0" quotePrefix="0" xfId="0"/>
    <xf numFmtId="0" fontId="14" fillId="2" borderId="0" pivotButton="0" quotePrefix="0" xfId="0"/>
    <xf numFmtId="164" fontId="173" fillId="27" borderId="1" applyAlignment="1" pivotButton="0" quotePrefix="0" xfId="1">
      <alignment horizontal="right"/>
    </xf>
    <xf numFmtId="3" fontId="14" fillId="27" borderId="1" applyAlignment="1" pivotButton="0" quotePrefix="0" xfId="0">
      <alignment horizontal="right" vertical="center" wrapText="1"/>
    </xf>
    <xf numFmtId="164" fontId="173" fillId="27" borderId="1" applyAlignment="1" pivotButton="0" quotePrefix="0" xfId="1">
      <alignment horizontal="right" wrapText="1"/>
    </xf>
    <xf numFmtId="164" fontId="32" fillId="27" borderId="1" applyAlignment="1" pivotButton="0" quotePrefix="0" xfId="1">
      <alignment horizontal="right"/>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164" fontId="21" fillId="2" borderId="2" applyAlignment="1" pivotButton="0" quotePrefix="0" xfId="1">
      <alignment vertical="top" wrapText="1"/>
    </xf>
    <xf numFmtId="164" fontId="21" fillId="2" borderId="13" applyAlignment="1" pivotButton="0" quotePrefix="0" xfId="1">
      <alignment vertical="top" wrapText="1"/>
    </xf>
    <xf numFmtId="164" fontId="22" fillId="2" borderId="2" applyAlignment="1" pivotButton="0" quotePrefix="0" xfId="1">
      <alignment vertical="top" wrapText="1"/>
    </xf>
    <xf numFmtId="164" fontId="22" fillId="2" borderId="13" applyAlignment="1" pivotButton="0" quotePrefix="0" xfId="1">
      <alignment vertical="top" wrapText="1"/>
    </xf>
    <xf numFmtId="164" fontId="2" fillId="2" borderId="1" applyAlignment="1" pivotButton="0" quotePrefix="0" xfId="1">
      <alignment horizontal="right" vertical="center" wrapText="1"/>
    </xf>
    <xf numFmtId="4" fontId="30" fillId="0" borderId="0" pivotButton="0" quotePrefix="0" xfId="0"/>
    <xf numFmtId="164" fontId="170" fillId="2" borderId="0" pivotButton="0" quotePrefix="0" xfId="1"/>
    <xf numFmtId="0" fontId="176" fillId="0" borderId="0" pivotButton="0" quotePrefix="0" xfId="0"/>
    <xf numFmtId="164" fontId="176" fillId="0" borderId="0" pivotButton="0" quotePrefix="0" xfId="0"/>
    <xf numFmtId="0" fontId="175" fillId="0" borderId="0" pivotButton="0" quotePrefix="0" xfId="0"/>
    <xf numFmtId="0" fontId="0" fillId="0" borderId="0" pivotButton="0" quotePrefix="0" xfId="0"/>
    <xf numFmtId="0" fontId="21" fillId="2" borderId="1" applyAlignment="1" pivotButton="0" quotePrefix="1" xfId="0">
      <alignment horizontal="justify" vertical="top" wrapText="1"/>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0" fontId="22" fillId="2" borderId="1" applyAlignment="1" pivotButton="0" quotePrefix="0" xfId="0">
      <alignment horizontal="center" vertical="top" wrapText="1"/>
    </xf>
    <xf numFmtId="164" fontId="26" fillId="2" borderId="1" applyAlignment="1" pivotButton="0" quotePrefix="0" xfId="1">
      <alignment horizontal="right" vertical="center" wrapText="1"/>
    </xf>
    <xf numFmtId="0" fontId="22" fillId="2" borderId="1" applyAlignment="1" pivotButton="0" quotePrefix="0" xfId="0">
      <alignment horizontal="center" vertical="top" wrapText="1"/>
    </xf>
    <xf numFmtId="0" fontId="22" fillId="2" borderId="1" applyAlignment="1" pivotButton="0" quotePrefix="0" xfId="0">
      <alignment horizontal="center" vertical="top" wrapText="1"/>
    </xf>
    <xf numFmtId="164" fontId="21" fillId="2" borderId="1" applyAlignment="1" pivotButton="0" quotePrefix="0" xfId="1">
      <alignment horizontal="center" vertical="top" wrapText="1"/>
    </xf>
    <xf numFmtId="0" fontId="22" fillId="2" borderId="1" applyAlignment="1" pivotButton="0" quotePrefix="0" xfId="0">
      <alignment horizontal="justify" vertical="top" wrapText="1"/>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43" fontId="176" fillId="0" borderId="0" pivotButton="0" quotePrefix="0" xfId="1"/>
    <xf numFmtId="0" fontId="0" fillId="0" borderId="1" pivotButton="0" quotePrefix="0" xfId="0"/>
    <xf numFmtId="0" fontId="177" fillId="2" borderId="0" pivotButton="0" quotePrefix="0" xfId="0"/>
    <xf numFmtId="164" fontId="177" fillId="2" borderId="0" pivotButton="0" quotePrefix="0" xfId="0"/>
    <xf numFmtId="43" fontId="177" fillId="2" borderId="0" pivotButton="0" quotePrefix="0" xfId="0"/>
    <xf numFmtId="164" fontId="177" fillId="2" borderId="0" pivotButton="0" quotePrefix="0" xfId="1"/>
    <xf numFmtId="0" fontId="176" fillId="0" borderId="0" applyAlignment="1" pivotButton="0" quotePrefix="0" xfId="0">
      <alignment vertical="center"/>
    </xf>
    <xf numFmtId="164" fontId="170" fillId="2" borderId="0" pivotButton="0" quotePrefix="0" xfId="0"/>
    <xf numFmtId="0" fontId="21" fillId="2" borderId="1" applyAlignment="1" pivotButton="0" quotePrefix="0" xfId="0">
      <alignment horizontal="center" vertical="top" wrapText="1"/>
    </xf>
    <xf numFmtId="0" fontId="21" fillId="2" borderId="1" applyAlignment="1" pivotButton="0" quotePrefix="0" xfId="0">
      <alignment horizontal="justify" vertical="top" wrapText="1"/>
    </xf>
    <xf numFmtId="0" fontId="22" fillId="2" borderId="1" applyAlignment="1" pivotButton="0" quotePrefix="0" xfId="0">
      <alignment horizontal="center" vertical="top" wrapText="1"/>
    </xf>
    <xf numFmtId="164" fontId="21" fillId="2" borderId="1" applyAlignment="1" pivotButton="0" quotePrefix="0" xfId="1">
      <alignment horizontal="center" vertical="top" wrapText="1"/>
    </xf>
    <xf numFmtId="0" fontId="22" fillId="2" borderId="1" applyAlignment="1" pivotButton="0" quotePrefix="0" xfId="0">
      <alignment horizontal="justify" vertical="top" wrapText="1"/>
    </xf>
    <xf numFmtId="164" fontId="22" fillId="2" borderId="1" applyAlignment="1" pivotButton="0" quotePrefix="0" xfId="1">
      <alignment horizontal="center" vertical="top" wrapText="1"/>
    </xf>
    <xf numFmtId="0" fontId="22" fillId="2" borderId="29" applyAlignment="1" pivotButton="0" quotePrefix="0" xfId="0">
      <alignment horizontal="left"/>
    </xf>
    <xf numFmtId="0" fontId="19" fillId="4" borderId="40" applyAlignment="1" pivotButton="0" quotePrefix="0" xfId="0">
      <alignment horizontal="center" vertical="center" wrapText="1"/>
    </xf>
    <xf numFmtId="0" fontId="20" fillId="0" borderId="12" applyAlignment="1" pivotButton="0" quotePrefix="0" xfId="0">
      <alignment horizontal="center" vertical="center" wrapText="1"/>
    </xf>
    <xf numFmtId="0" fontId="20" fillId="0" borderId="6" applyAlignment="1" pivotButton="0" quotePrefix="0" xfId="0">
      <alignment horizontal="center" vertical="center" wrapText="1"/>
    </xf>
    <xf numFmtId="0" fontId="19" fillId="0" borderId="5" applyAlignment="1" pivotButton="0" quotePrefix="0" xfId="0">
      <alignment horizontal="justify" vertical="center" wrapText="1"/>
    </xf>
    <xf numFmtId="0" fontId="18" fillId="0" borderId="6" applyAlignment="1" pivotButton="0" quotePrefix="0" xfId="0">
      <alignment horizontal="justify" vertical="center" wrapText="1"/>
    </xf>
    <xf numFmtId="0" fontId="18" fillId="0" borderId="6" applyAlignment="1" pivotButton="0" quotePrefix="0" xfId="0">
      <alignment horizontal="center" vertical="center" wrapText="1"/>
    </xf>
    <xf numFmtId="0" fontId="18" fillId="0" borderId="12" applyAlignment="1" pivotButton="0" quotePrefix="0" xfId="0">
      <alignment horizontal="center" vertical="center" wrapText="1"/>
    </xf>
    <xf numFmtId="43" fontId="18" fillId="0" borderId="6" applyAlignment="1" pivotButton="0" quotePrefix="0" xfId="1">
      <alignment horizontal="justify" vertical="center" wrapText="1"/>
    </xf>
    <xf numFmtId="43" fontId="19" fillId="0" borderId="8" applyAlignment="1" pivotButton="0" quotePrefix="0" xfId="1">
      <alignment horizontal="justify" vertical="center" wrapText="1"/>
    </xf>
    <xf numFmtId="0" fontId="178" fillId="2" borderId="0" applyAlignment="1" pivotButton="0" quotePrefix="0" xfId="0">
      <alignment horizontal="center" vertical="center" wrapText="1"/>
    </xf>
    <xf numFmtId="0" fontId="180" fillId="2" borderId="0" applyAlignment="1" pivotButton="0" quotePrefix="0" xfId="0">
      <alignment vertical="center" wrapText="1"/>
    </xf>
    <xf numFmtId="0" fontId="181" fillId="2" borderId="0" applyAlignment="1" pivotButton="0" quotePrefix="0" xfId="0">
      <alignment vertical="center" wrapText="1"/>
    </xf>
    <xf numFmtId="0" fontId="176" fillId="2" borderId="0" pivotButton="0" quotePrefix="0" xfId="0"/>
    <xf numFmtId="0" fontId="182" fillId="2" borderId="0" applyAlignment="1" pivotButton="0" quotePrefix="0" xfId="0">
      <alignment vertical="center" wrapText="1"/>
    </xf>
    <xf numFmtId="43" fontId="21" fillId="0" borderId="1" applyAlignment="1" pivotButton="0" quotePrefix="0" xfId="1">
      <alignment horizontal="justify" vertical="center" wrapText="1"/>
    </xf>
    <xf numFmtId="0" fontId="26" fillId="0" borderId="1" applyAlignment="1" pivotButton="0" quotePrefix="0" xfId="0">
      <alignment horizontal="center" vertical="center" wrapText="1"/>
    </xf>
    <xf numFmtId="164" fontId="26" fillId="0" borderId="1" applyAlignment="1" pivotButton="0" quotePrefix="0" xfId="1">
      <alignment horizontal="right" vertical="center" wrapText="1"/>
    </xf>
    <xf numFmtId="164" fontId="20" fillId="0" borderId="6" applyAlignment="1" pivotButton="0" quotePrefix="0" xfId="1">
      <alignment horizontal="center" vertical="center" wrapText="1"/>
    </xf>
    <xf numFmtId="164" fontId="22" fillId="2" borderId="1" applyAlignment="1" pivotButton="0" quotePrefix="0" xfId="1">
      <alignment horizontal="center" vertical="top" wrapText="1"/>
    </xf>
    <xf numFmtId="0" fontId="176" fillId="0" borderId="0" pivotButton="0" quotePrefix="0" xfId="0"/>
    <xf numFmtId="43" fontId="176" fillId="0" borderId="0" pivotButton="0" quotePrefix="0" xfId="0"/>
    <xf numFmtId="0" fontId="176" fillId="0" borderId="0" pivotButton="0" quotePrefix="0" xfId="0"/>
    <xf numFmtId="43" fontId="176" fillId="0" borderId="0" pivotButton="0" quotePrefix="0" xfId="0"/>
    <xf numFmtId="164" fontId="24" fillId="2" borderId="1" applyAlignment="1" pivotButton="0" quotePrefix="0" xfId="1">
      <alignment horizontal="right" vertical="center"/>
    </xf>
    <xf numFmtId="0" fontId="183" fillId="0" borderId="0" pivotButton="0" quotePrefix="0" xfId="0"/>
    <xf numFmtId="164" fontId="22" fillId="2" borderId="0" pivotButton="0" quotePrefix="0" xfId="0"/>
    <xf numFmtId="0" fontId="184" fillId="0" borderId="0" applyAlignment="1" pivotButton="0" quotePrefix="0" xfId="0">
      <alignment vertical="center" wrapText="1"/>
    </xf>
    <xf numFmtId="164" fontId="185" fillId="2" borderId="1" pivotButton="0" quotePrefix="0" xfId="1"/>
    <xf numFmtId="164" fontId="170" fillId="2" borderId="1" pivotButton="0" quotePrefix="0" xfId="1"/>
    <xf numFmtId="0" fontId="170" fillId="2" borderId="1" pivotButton="0" quotePrefix="0" xfId="0"/>
    <xf numFmtId="164" fontId="170" fillId="2" borderId="1" applyAlignment="1" pivotButton="0" quotePrefix="0" xfId="0">
      <alignment horizontal="right"/>
    </xf>
    <xf numFmtId="164" fontId="170" fillId="2" borderId="1" applyAlignment="1" pivotButton="0" quotePrefix="0" xfId="1">
      <alignment horizontal="right" vertical="center" wrapText="1"/>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164" fontId="170" fillId="2" borderId="1" applyAlignment="1" pivotButton="0" quotePrefix="0" xfId="1">
      <alignment horizontal="center" vertical="top" wrapText="1"/>
    </xf>
    <xf numFmtId="38" fontId="187" fillId="28" borderId="41" applyAlignment="1" pivotButton="0" quotePrefix="0" xfId="0">
      <alignment horizontal="center" vertical="center" wrapText="1"/>
    </xf>
    <xf numFmtId="0" fontId="188" fillId="0" borderId="42" applyAlignment="1" pivotButton="0" quotePrefix="0" xfId="0">
      <alignment horizontal="left" vertical="center"/>
    </xf>
    <xf numFmtId="14" fontId="188" fillId="0" borderId="42" applyAlignment="1" pivotButton="0" quotePrefix="0" xfId="0">
      <alignment horizontal="center" vertical="center"/>
    </xf>
    <xf numFmtId="38" fontId="188" fillId="0" borderId="42" applyAlignment="1" pivotButton="0" quotePrefix="0" xfId="0">
      <alignment horizontal="right" vertical="center"/>
    </xf>
    <xf numFmtId="14" fontId="0" fillId="0" borderId="0" pivotButton="0" quotePrefix="0" xfId="0"/>
    <xf numFmtId="1" fontId="0" fillId="0" borderId="0" pivotButton="0" quotePrefix="0" xfId="0"/>
    <xf numFmtId="38" fontId="0" fillId="0" borderId="0" pivotButton="0" quotePrefix="0" xfId="0"/>
    <xf numFmtId="43" fontId="26" fillId="2" borderId="1" pivotButton="0" quotePrefix="0" xfId="1"/>
    <xf numFmtId="164" fontId="26" fillId="2" borderId="1" applyAlignment="1" pivotButton="0" quotePrefix="0" xfId="0">
      <alignment horizontal="right"/>
    </xf>
    <xf numFmtId="0" fontId="26" fillId="2" borderId="1" pivotButton="0" quotePrefix="0" xfId="0"/>
    <xf numFmtId="3" fontId="185" fillId="0" borderId="0" pivotButton="0" quotePrefix="0" xfId="0"/>
    <xf numFmtId="0" fontId="19" fillId="2" borderId="1" applyAlignment="1" pivotButton="0" quotePrefix="0" xfId="0">
      <alignment horizontal="center" vertical="top" wrapText="1"/>
    </xf>
    <xf numFmtId="0" fontId="20" fillId="2" borderId="44" applyAlignment="1" pivotButton="0" quotePrefix="0" xfId="0">
      <alignment horizontal="center" vertical="top" wrapText="1"/>
    </xf>
    <xf numFmtId="164" fontId="22" fillId="2" borderId="1" applyAlignment="1" pivotButton="0" quotePrefix="0" xfId="1">
      <alignment horizontal="center" vertical="top" wrapText="1"/>
    </xf>
    <xf numFmtId="164" fontId="21" fillId="2" borderId="1" applyAlignment="1" pivotButton="0" quotePrefix="0" xfId="1">
      <alignment horizontal="center" vertical="top" wrapText="1"/>
    </xf>
    <xf numFmtId="164" fontId="26" fillId="2" borderId="1" applyAlignment="1" pivotButton="0" quotePrefix="0" xfId="1">
      <alignment horizontal="right" vertical="center" wrapText="1"/>
    </xf>
    <xf numFmtId="43" fontId="184" fillId="0" borderId="0" pivotButton="0" quotePrefix="0" xfId="0"/>
    <xf numFmtId="0" fontId="184" fillId="0" borderId="1" pivotButton="0" quotePrefix="0" xfId="0"/>
    <xf numFmtId="0" fontId="189" fillId="29" borderId="40" pivotButton="0" quotePrefix="0" xfId="0"/>
    <xf numFmtId="0" fontId="189" fillId="29" borderId="40" applyAlignment="1" pivotButton="0" quotePrefix="0" xfId="0">
      <alignment vertical="top" wrapText="1"/>
    </xf>
    <xf numFmtId="2" fontId="189" fillId="29" borderId="40" pivotButton="0" quotePrefix="0" xfId="0"/>
    <xf numFmtId="2" fontId="0" fillId="0" borderId="0" pivotButton="0" quotePrefix="0" xfId="0"/>
    <xf numFmtId="0" fontId="190" fillId="0" borderId="6" applyAlignment="1" pivotButton="0" quotePrefix="0" xfId="0">
      <alignment horizontal="right"/>
    </xf>
    <xf numFmtId="43" fontId="0" fillId="0" borderId="1" pivotButton="0" quotePrefix="0" xfId="0"/>
    <xf numFmtId="40" fontId="187" fillId="28" borderId="41" applyAlignment="1" pivotButton="0" quotePrefix="0" xfId="0">
      <alignment horizontal="center" vertical="center" wrapText="1"/>
    </xf>
    <xf numFmtId="40" fontId="188" fillId="0" borderId="42" applyAlignment="1" pivotButton="0" quotePrefix="0" xfId="0">
      <alignment horizontal="right" vertical="center"/>
    </xf>
    <xf numFmtId="14" fontId="188" fillId="0" borderId="43" applyAlignment="1" pivotButton="0" quotePrefix="0" xfId="0">
      <alignment horizontal="center" vertical="center"/>
    </xf>
    <xf numFmtId="40" fontId="0" fillId="0" borderId="0" pivotButton="0" quotePrefix="0" xfId="0"/>
    <xf numFmtId="0" fontId="191" fillId="30" borderId="1" applyAlignment="1" pivotButton="0" quotePrefix="0" xfId="0">
      <alignment vertical="center"/>
    </xf>
    <xf numFmtId="0" fontId="191" fillId="30" borderId="1" applyAlignment="1" pivotButton="0" quotePrefix="0" xfId="0">
      <alignment horizontal="right" vertical="center"/>
    </xf>
    <xf numFmtId="43" fontId="192" fillId="30" borderId="1" applyAlignment="1" pivotButton="0" quotePrefix="0" xfId="1">
      <alignment horizontal="right" vertical="center"/>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164" fontId="21" fillId="2" borderId="1" applyAlignment="1" pivotButton="0" quotePrefix="0" xfId="1">
      <alignment horizontal="center" vertical="top" wrapText="1"/>
    </xf>
    <xf numFmtId="43" fontId="0" fillId="0" borderId="1" pivotButton="0" quotePrefix="0" xfId="0"/>
    <xf numFmtId="164" fontId="170" fillId="0" borderId="1" applyAlignment="1" pivotButton="0" quotePrefix="0" xfId="1">
      <alignment horizontal="right" vertical="center" wrapText="1"/>
    </xf>
    <xf numFmtId="0" fontId="26" fillId="2" borderId="0" applyAlignment="1" pivotButton="0" quotePrefix="0" xfId="0">
      <alignment vertical="center" wrapText="1"/>
    </xf>
    <xf numFmtId="0" fontId="26" fillId="2" borderId="0" applyAlignment="1" pivotButton="0" quotePrefix="0" xfId="0">
      <alignment vertical="top" wrapText="1"/>
    </xf>
    <xf numFmtId="43" fontId="24" fillId="0" borderId="1" pivotButton="0" quotePrefix="0" xfId="0"/>
    <xf numFmtId="164" fontId="175" fillId="0" borderId="0" pivotButton="0" quotePrefix="0" xfId="0"/>
    <xf numFmtId="43" fontId="28" fillId="0" borderId="0" applyAlignment="1" pivotButton="0" quotePrefix="0" xfId="0">
      <alignment vertical="center"/>
    </xf>
    <xf numFmtId="43" fontId="184" fillId="0" borderId="0" pivotButton="0" quotePrefix="0" xfId="1"/>
    <xf numFmtId="0" fontId="26" fillId="0" borderId="1" applyAlignment="1" pivotButton="0" quotePrefix="0" xfId="0">
      <alignment horizontal="justify" vertical="center" wrapText="1"/>
    </xf>
    <xf numFmtId="0" fontId="184" fillId="0" borderId="0" pivotButton="0" quotePrefix="0" xfId="0"/>
    <xf numFmtId="0" fontId="184" fillId="0" borderId="0" pivotButton="0" quotePrefix="0" xfId="0"/>
    <xf numFmtId="0" fontId="24" fillId="0" borderId="0" pivotButton="0" quotePrefix="0" xfId="0"/>
    <xf numFmtId="43" fontId="0" fillId="0" borderId="0" pivotButton="0" quotePrefix="0" xfId="0"/>
    <xf numFmtId="43" fontId="176" fillId="0" borderId="0" pivotButton="0" quotePrefix="0" xfId="1"/>
    <xf numFmtId="0" fontId="10" fillId="0" borderId="0" pivotButton="0" quotePrefix="0" xfId="0"/>
    <xf numFmtId="164" fontId="10" fillId="0" borderId="0" pivotButton="0" quotePrefix="0" xfId="211"/>
    <xf numFmtId="0" fontId="11" fillId="0" borderId="0" pivotButton="0" quotePrefix="0" xfId="0"/>
    <xf numFmtId="0" fontId="21" fillId="0" borderId="0" pivotButton="0" quotePrefix="0" xfId="0"/>
    <xf numFmtId="0" fontId="21" fillId="0" borderId="1" pivotButton="0" quotePrefix="0" xfId="0"/>
    <xf numFmtId="164" fontId="21" fillId="0" borderId="1" pivotButton="0" quotePrefix="0" xfId="1"/>
    <xf numFmtId="43" fontId="0" fillId="0" borderId="0" applyAlignment="1" pivotButton="0" quotePrefix="0" xfId="1">
      <alignment vertical="center" wrapText="1"/>
    </xf>
    <xf numFmtId="164" fontId="21" fillId="0" borderId="0" pivotButton="0" quotePrefix="0" xfId="0"/>
    <xf numFmtId="43" fontId="177" fillId="0" borderId="0" pivotButton="0" quotePrefix="0" xfId="0"/>
    <xf numFmtId="164" fontId="177" fillId="0" borderId="0" pivotButton="0" quotePrefix="0" xfId="0"/>
    <xf numFmtId="43" fontId="21" fillId="0" borderId="0" pivotButton="0" quotePrefix="0" xfId="1"/>
    <xf numFmtId="164" fontId="26" fillId="0" borderId="1" pivotButton="0" quotePrefix="0" xfId="1"/>
    <xf numFmtId="164" fontId="21" fillId="0" borderId="1" pivotButton="0" quotePrefix="0" xfId="1"/>
    <xf numFmtId="164" fontId="21" fillId="0" borderId="0" pivotButton="0" quotePrefix="0" xfId="1"/>
    <xf numFmtId="167" fontId="21" fillId="0" borderId="0" pivotButton="0" quotePrefix="0" xfId="0"/>
    <xf numFmtId="164" fontId="170" fillId="0" borderId="1" pivotButton="0" quotePrefix="0" xfId="1"/>
    <xf numFmtId="0" fontId="21" fillId="0" borderId="0" pivotButton="0" quotePrefix="0" xfId="0"/>
    <xf numFmtId="164" fontId="21" fillId="0" borderId="0" pivotButton="0" quotePrefix="0" xfId="1"/>
    <xf numFmtId="43" fontId="21" fillId="0" borderId="0" pivotButton="0" quotePrefix="0" xfId="0"/>
    <xf numFmtId="43" fontId="184" fillId="0" borderId="0" pivotButton="0" quotePrefix="0" xfId="0"/>
    <xf numFmtId="0" fontId="24" fillId="0" borderId="1" pivotButton="0" quotePrefix="0" xfId="0"/>
    <xf numFmtId="0" fontId="24" fillId="0" borderId="0" pivotButton="0" quotePrefix="0" xfId="0"/>
    <xf numFmtId="43" fontId="24" fillId="0" borderId="0" pivotButton="0" quotePrefix="0" xfId="1"/>
    <xf numFmtId="0" fontId="24" fillId="0" borderId="0" pivotButton="0" quotePrefix="0" xfId="0"/>
    <xf numFmtId="43" fontId="24" fillId="0" borderId="0" pivotButton="0" quotePrefix="0" xfId="0"/>
    <xf numFmtId="164" fontId="193" fillId="2" borderId="1" applyAlignment="1" pivotButton="0" quotePrefix="0" xfId="1">
      <alignment horizontal="right" wrapText="1"/>
    </xf>
    <xf numFmtId="43" fontId="24" fillId="0" borderId="0" pivotButton="0" quotePrefix="0" xfId="0"/>
    <xf numFmtId="43" fontId="24" fillId="0" borderId="0" pivotButton="0" quotePrefix="0" xfId="0"/>
    <xf numFmtId="0" fontId="24" fillId="0" borderId="0" pivotButton="0" quotePrefix="0" xfId="0"/>
    <xf numFmtId="43" fontId="184" fillId="0" borderId="1" pivotButton="0" quotePrefix="0" xfId="0"/>
    <xf numFmtId="49" fontId="194" fillId="31" borderId="48" applyAlignment="1" pivotButton="0" quotePrefix="0" xfId="0">
      <alignment horizontal="left"/>
    </xf>
    <xf numFmtId="43" fontId="194" fillId="31" borderId="48" applyAlignment="1" pivotButton="0" quotePrefix="0" xfId="1">
      <alignment horizontal="right"/>
    </xf>
    <xf numFmtId="0" fontId="194" fillId="31" borderId="48" applyAlignment="1" pivotButton="0" quotePrefix="0" xfId="0">
      <alignment horizontal="right"/>
    </xf>
    <xf numFmtId="0" fontId="194" fillId="31" borderId="0" applyAlignment="1" pivotButton="0" quotePrefix="0" xfId="0">
      <alignment horizontal="left"/>
    </xf>
    <xf numFmtId="0" fontId="0" fillId="0" borderId="0" applyAlignment="1" pivotButton="0" quotePrefix="0" xfId="0">
      <alignment vertical="center" wrapText="1"/>
    </xf>
    <xf numFmtId="164" fontId="170" fillId="2" borderId="1" applyAlignment="1" pivotButton="0" quotePrefix="0" xfId="1">
      <alignment horizontal="right"/>
    </xf>
    <xf numFmtId="164" fontId="185" fillId="27" borderId="1" applyAlignment="1" pivotButton="0" quotePrefix="0" xfId="1">
      <alignment horizontal="right"/>
    </xf>
    <xf numFmtId="0" fontId="0" fillId="0" borderId="0" pivotButton="0" quotePrefix="0" xfId="0"/>
    <xf numFmtId="43" fontId="0" fillId="0" borderId="0" pivotButton="0" quotePrefix="0" xfId="0"/>
    <xf numFmtId="164" fontId="26" fillId="2" borderId="1" applyAlignment="1" pivotButton="0" quotePrefix="0" xfId="1">
      <alignment horizontal="right" vertical="center" wrapText="1"/>
    </xf>
    <xf numFmtId="40" fontId="187" fillId="32" borderId="49" applyAlignment="1" pivotButton="0" quotePrefix="0" xfId="0">
      <alignment horizontal="center" vertical="center" wrapText="1"/>
    </xf>
    <xf numFmtId="38" fontId="187" fillId="32" borderId="49" applyAlignment="1" pivotButton="0" quotePrefix="0" xfId="0">
      <alignment horizontal="center" vertical="center" wrapText="1"/>
    </xf>
    <xf numFmtId="14" fontId="188" fillId="0" borderId="53" applyAlignment="1" pivotButton="0" quotePrefix="0" xfId="0">
      <alignment horizontal="center" vertical="center"/>
    </xf>
    <xf numFmtId="0" fontId="188" fillId="0" borderId="53" applyAlignment="1" pivotButton="0" quotePrefix="0" xfId="0">
      <alignment horizontal="left" vertical="center"/>
    </xf>
    <xf numFmtId="40" fontId="188" fillId="0" borderId="53" applyAlignment="1" pivotButton="0" quotePrefix="0" xfId="0">
      <alignment horizontal="right" vertical="center"/>
    </xf>
    <xf numFmtId="38" fontId="188" fillId="0" borderId="53" applyAlignment="1" pivotButton="0" quotePrefix="0" xfId="0">
      <alignment horizontal="right" vertical="center"/>
    </xf>
    <xf numFmtId="14" fontId="188" fillId="33" borderId="53" applyAlignment="1" pivotButton="0" quotePrefix="0" xfId="0">
      <alignment horizontal="left" vertical="center"/>
    </xf>
    <xf numFmtId="40" fontId="188" fillId="33" borderId="53" applyAlignment="1" pivotButton="0" quotePrefix="0" xfId="0">
      <alignment horizontal="right" vertical="center"/>
    </xf>
    <xf numFmtId="38" fontId="188" fillId="33" borderId="53" applyAlignment="1" pivotButton="0" quotePrefix="0" xfId="0">
      <alignment horizontal="right" vertical="center"/>
    </xf>
    <xf numFmtId="0" fontId="0" fillId="0" borderId="0" applyAlignment="1" pivotButton="0" quotePrefix="0" xfId="0">
      <alignment horizontal="left"/>
    </xf>
    <xf numFmtId="0" fontId="198" fillId="0" borderId="0" applyAlignment="1" pivotButton="0" quotePrefix="0" xfId="0">
      <alignment horizontal="left" vertical="top"/>
    </xf>
    <xf numFmtId="0" fontId="0" fillId="0" borderId="54" applyAlignment="1" pivotButton="0" quotePrefix="0" xfId="0">
      <alignment horizontal="left"/>
    </xf>
    <xf numFmtId="0" fontId="0" fillId="0" borderId="59" applyAlignment="1" pivotButton="0" quotePrefix="0" xfId="0">
      <alignment horizontal="left"/>
    </xf>
    <xf numFmtId="0" fontId="173" fillId="0" borderId="55" applyAlignment="1" pivotButton="0" quotePrefix="0" xfId="0">
      <alignment horizontal="center" vertical="center" wrapText="1"/>
    </xf>
    <xf numFmtId="0" fontId="173" fillId="0" borderId="55" applyAlignment="1" pivotButton="0" quotePrefix="0" xfId="0">
      <alignment horizontal="center" vertical="center"/>
    </xf>
    <xf numFmtId="0" fontId="199" fillId="0" borderId="55" applyAlignment="1" pivotButton="0" quotePrefix="0" xfId="0">
      <alignment horizontal="left" vertical="center" wrapText="1"/>
    </xf>
    <xf numFmtId="168" fontId="200" fillId="0" borderId="55" applyAlignment="1" pivotButton="0" quotePrefix="0" xfId="0">
      <alignment horizontal="right" vertical="center" wrapText="1"/>
    </xf>
    <xf numFmtId="0" fontId="191" fillId="0" borderId="55" applyAlignment="1" pivotButton="0" quotePrefix="0" xfId="0">
      <alignment horizontal="left" vertical="center" wrapText="1"/>
    </xf>
    <xf numFmtId="168" fontId="201" fillId="0" borderId="55" applyAlignment="1" pivotButton="0" quotePrefix="0" xfId="0">
      <alignment horizontal="right" vertical="center" wrapText="1"/>
    </xf>
    <xf numFmtId="0" fontId="0" fillId="0" borderId="63" applyAlignment="1" pivotButton="0" quotePrefix="0" xfId="0">
      <alignment horizontal="left"/>
    </xf>
    <xf numFmtId="0" fontId="188" fillId="33" borderId="53" applyAlignment="1" pivotButton="0" quotePrefix="0" xfId="0">
      <alignment horizontal="left" vertical="center"/>
    </xf>
    <xf numFmtId="0" fontId="187" fillId="32" borderId="49" applyAlignment="1" pivotButton="0" quotePrefix="0" xfId="0">
      <alignment horizontal="center" vertical="center" wrapText="1"/>
    </xf>
    <xf numFmtId="14" fontId="187" fillId="32" borderId="49" applyAlignment="1" pivotButton="0" quotePrefix="0" xfId="0">
      <alignment horizontal="center" vertical="center" wrapText="1"/>
    </xf>
    <xf numFmtId="1" fontId="187" fillId="32" borderId="49" applyAlignment="1" pivotButton="0" quotePrefix="0" xfId="0">
      <alignment horizontal="center" vertical="center" wrapText="1"/>
    </xf>
    <xf numFmtId="1" fontId="188" fillId="0" borderId="53" applyAlignment="1" pivotButton="0" quotePrefix="0" xfId="0">
      <alignment horizontal="right" vertical="center"/>
    </xf>
    <xf numFmtId="1" fontId="188" fillId="33" borderId="53" applyAlignment="1" pivotButton="0" quotePrefix="0" xfId="0">
      <alignment horizontal="right" vertical="center"/>
    </xf>
    <xf numFmtId="43" fontId="26" fillId="2" borderId="1" pivotButton="0" quotePrefix="0" xfId="0"/>
    <xf numFmtId="164" fontId="26" fillId="2" borderId="1" applyAlignment="1" pivotButton="0" quotePrefix="0" xfId="1">
      <alignment horizontal="right" vertical="center" wrapText="1"/>
    </xf>
    <xf numFmtId="0" fontId="0" fillId="3" borderId="1" pivotButton="0" quotePrefix="0" xfId="0"/>
    <xf numFmtId="43" fontId="0" fillId="3" borderId="1" pivotButton="0" quotePrefix="0" xfId="0"/>
    <xf numFmtId="0" fontId="176" fillId="3" borderId="0" pivotButton="0" quotePrefix="0" xfId="0"/>
    <xf numFmtId="43" fontId="24" fillId="3" borderId="0" pivotButton="0" quotePrefix="0" xfId="1"/>
    <xf numFmtId="0" fontId="24" fillId="3" borderId="0" pivotButton="0" quotePrefix="0" xfId="0"/>
    <xf numFmtId="43" fontId="184" fillId="3" borderId="0" pivotButton="0" quotePrefix="0" xfId="0"/>
    <xf numFmtId="0" fontId="184" fillId="3" borderId="0" pivotButton="0" quotePrefix="0" xfId="0"/>
    <xf numFmtId="0" fontId="0" fillId="3" borderId="0" pivotButton="0" quotePrefix="0" xfId="0"/>
    <xf numFmtId="0" fontId="0" fillId="3" borderId="1" pivotButton="0" quotePrefix="1" xfId="0"/>
    <xf numFmtId="43" fontId="26" fillId="0" borderId="1" applyAlignment="1" pivotButton="0" quotePrefix="0" xfId="0">
      <alignment horizontal="center" vertical="center" wrapText="1"/>
    </xf>
    <xf numFmtId="43" fontId="14" fillId="0" borderId="1" applyAlignment="1" pivotButton="0" quotePrefix="0" xfId="0">
      <alignment horizontal="center" vertical="center" wrapText="1"/>
    </xf>
    <xf numFmtId="0" fontId="21" fillId="2" borderId="1" applyAlignment="1" pivotButton="0" quotePrefix="0" xfId="0">
      <alignment horizontal="center" vertical="top" wrapText="1"/>
    </xf>
    <xf numFmtId="0" fontId="22" fillId="2" borderId="0" applyAlignment="1" pivotButton="0" quotePrefix="0" xfId="0">
      <alignment horizontal="center"/>
    </xf>
    <xf numFmtId="0" fontId="21" fillId="2" borderId="1" applyAlignment="1" pivotButton="0" quotePrefix="0" xfId="0">
      <alignment horizontal="justify" vertical="top" wrapText="1"/>
    </xf>
    <xf numFmtId="0" fontId="22" fillId="2" borderId="1" applyAlignment="1" pivotButton="0" quotePrefix="0" xfId="0">
      <alignment horizontal="center" vertical="top" wrapText="1"/>
    </xf>
    <xf numFmtId="0" fontId="22" fillId="2" borderId="1" applyAlignment="1" pivotButton="0" quotePrefix="0" xfId="0">
      <alignment horizontal="justify" vertical="top" wrapText="1"/>
    </xf>
    <xf numFmtId="164" fontId="22" fillId="2" borderId="1" applyAlignment="1" pivotButton="0" quotePrefix="0" xfId="1">
      <alignment horizontal="center" vertical="top" wrapText="1"/>
    </xf>
    <xf numFmtId="164" fontId="21" fillId="2" borderId="1" applyAlignment="1" pivotButton="0" quotePrefix="0" xfId="1">
      <alignment horizontal="center" vertical="top" wrapText="1"/>
    </xf>
    <xf numFmtId="0" fontId="18" fillId="0" borderId="8" applyAlignment="1" pivotButton="0" quotePrefix="0" xfId="0">
      <alignment horizontal="justify" vertical="center" wrapText="1"/>
    </xf>
    <xf numFmtId="0" fontId="18" fillId="0" borderId="12" applyAlignment="1" pivotButton="0" quotePrefix="0" xfId="0">
      <alignment horizontal="justify" vertical="center" wrapText="1"/>
    </xf>
    <xf numFmtId="0" fontId="18" fillId="0" borderId="8"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12" applyAlignment="1" pivotButton="0" quotePrefix="0" xfId="0">
      <alignment horizontal="center" vertical="center" wrapText="1"/>
    </xf>
    <xf numFmtId="0" fontId="21" fillId="2" borderId="0" applyAlignment="1" pivotButton="0" quotePrefix="0" xfId="0">
      <alignment horizontal="right" wrapText="1"/>
    </xf>
    <xf numFmtId="0" fontId="14" fillId="2" borderId="0" applyAlignment="1" pivotButton="0" quotePrefix="0" xfId="0">
      <alignment horizontal="center"/>
    </xf>
    <xf numFmtId="0" fontId="6" fillId="2" borderId="0" applyAlignment="1" pivotButton="0" quotePrefix="0" xfId="0">
      <alignment horizontal="center"/>
    </xf>
    <xf numFmtId="43" fontId="18" fillId="0" borderId="8" applyAlignment="1" pivotButton="0" quotePrefix="0" xfId="1">
      <alignment horizontal="justify" vertical="center" wrapText="1"/>
    </xf>
    <xf numFmtId="43" fontId="18" fillId="0" borderId="12" applyAlignment="1" pivotButton="0" quotePrefix="0" xfId="1">
      <alignment horizontal="justify" vertical="center" wrapText="1"/>
    </xf>
    <xf numFmtId="0" fontId="19" fillId="0" borderId="8" applyAlignment="1" pivotButton="0" quotePrefix="0" xfId="0">
      <alignment horizontal="center" vertical="center" wrapText="1"/>
    </xf>
    <xf numFmtId="0" fontId="19" fillId="0" borderId="12" applyAlignment="1" pivotButton="0" quotePrefix="0" xfId="0">
      <alignment horizontal="center" vertical="center" wrapText="1"/>
    </xf>
    <xf numFmtId="43" fontId="19" fillId="0" borderId="8" applyAlignment="1" pivotButton="0" quotePrefix="0" xfId="1">
      <alignment horizontal="justify" vertical="center" wrapText="1"/>
    </xf>
    <xf numFmtId="43" fontId="19" fillId="0" borderId="12" applyAlignment="1" pivotButton="0" quotePrefix="0" xfId="1">
      <alignment horizontal="justify" vertical="center" wrapText="1"/>
    </xf>
    <xf numFmtId="0" fontId="19" fillId="4" borderId="7" applyAlignment="1" pivotButton="0" quotePrefix="0" xfId="0">
      <alignment horizontal="center" vertical="top" wrapText="1"/>
    </xf>
    <xf numFmtId="0" fontId="19" fillId="4" borderId="6" applyAlignment="1" pivotButton="0" quotePrefix="0" xfId="0">
      <alignment horizontal="center" vertical="top" wrapText="1"/>
    </xf>
    <xf numFmtId="0" fontId="19" fillId="4" borderId="8" applyAlignment="1" pivotButton="0" quotePrefix="0" xfId="0">
      <alignment horizontal="center" vertical="top" wrapText="1"/>
    </xf>
    <xf numFmtId="0" fontId="19" fillId="4" borderId="12" applyAlignment="1" pivotButton="0" quotePrefix="0" xfId="0">
      <alignment horizontal="center" vertical="top" wrapText="1"/>
    </xf>
    <xf numFmtId="0" fontId="19" fillId="2" borderId="0" applyAlignment="1" pivotButton="0" quotePrefix="0" xfId="0">
      <alignment horizontal="center"/>
    </xf>
    <xf numFmtId="0" fontId="8" fillId="2" borderId="0" applyAlignment="1" pivotButton="0" quotePrefix="0" xfId="0">
      <alignment horizontal="center"/>
    </xf>
    <xf numFmtId="0" fontId="9" fillId="2" borderId="0" applyAlignment="1" pivotButton="0" quotePrefix="0" xfId="0">
      <alignment horizontal="center"/>
    </xf>
    <xf numFmtId="0" fontId="19" fillId="2" borderId="1" applyAlignment="1" pivotButton="0" quotePrefix="0" xfId="0">
      <alignment horizontal="center" vertical="top" wrapText="1"/>
    </xf>
    <xf numFmtId="0" fontId="22" fillId="2" borderId="14" applyAlignment="1" pivotButton="0" quotePrefix="0" xfId="0">
      <alignment horizontal="center" vertical="top" wrapText="1"/>
    </xf>
    <xf numFmtId="0" fontId="22" fillId="2" borderId="3" applyAlignment="1" pivotButton="0" quotePrefix="0" xfId="0">
      <alignment horizontal="center" vertical="top" wrapText="1"/>
    </xf>
    <xf numFmtId="0" fontId="14" fillId="0" borderId="1" applyAlignment="1" pivotButton="0" quotePrefix="0" xfId="0">
      <alignment horizontal="justify" vertical="center" wrapText="1"/>
    </xf>
    <xf numFmtId="0" fontId="26" fillId="0" borderId="0" applyAlignment="1" pivotButton="0" quotePrefix="0" xfId="0">
      <alignment horizontal="left" vertical="center" wrapText="1"/>
    </xf>
    <xf numFmtId="0" fontId="27" fillId="0" borderId="0" applyAlignment="1" pivotButton="0" quotePrefix="0" xfId="0">
      <alignment horizontal="center" vertical="center" wrapText="1"/>
    </xf>
    <xf numFmtId="0" fontId="14" fillId="0" borderId="0" applyAlignment="1" pivotButton="0" quotePrefix="0" xfId="0">
      <alignment horizontal="center" vertical="center" wrapText="1"/>
    </xf>
    <xf numFmtId="0" fontId="14" fillId="0" borderId="7" applyAlignment="1" pivotButton="0" quotePrefix="0" xfId="0">
      <alignment horizontal="center" vertical="center" wrapText="1"/>
    </xf>
    <xf numFmtId="0" fontId="14" fillId="0" borderId="6" applyAlignment="1" pivotButton="0" quotePrefix="0" xfId="0">
      <alignment horizontal="center" vertical="center" wrapText="1"/>
    </xf>
    <xf numFmtId="0" fontId="26" fillId="0" borderId="8" applyAlignment="1" pivotButton="0" quotePrefix="0" xfId="0">
      <alignment horizontal="center" vertical="center" wrapText="1"/>
    </xf>
    <xf numFmtId="0" fontId="26" fillId="0" borderId="12" applyAlignment="1" pivotButton="0" quotePrefix="0" xfId="0">
      <alignment horizontal="center" vertical="center" wrapText="1"/>
    </xf>
    <xf numFmtId="0" fontId="26" fillId="0" borderId="4" applyAlignment="1" pivotButton="0" quotePrefix="0" xfId="0">
      <alignment horizontal="center" vertical="center" wrapText="1"/>
    </xf>
    <xf numFmtId="0" fontId="26" fillId="0" borderId="1" applyAlignment="1" pivotButton="0" quotePrefix="0" xfId="0">
      <alignment horizontal="center" vertical="center" wrapText="1"/>
    </xf>
    <xf numFmtId="0" fontId="26" fillId="0" borderId="1" applyAlignment="1" pivotButton="0" quotePrefix="0" xfId="0">
      <alignment horizontal="justify" vertical="center" wrapText="1"/>
    </xf>
    <xf numFmtId="164" fontId="26" fillId="2" borderId="1" applyAlignment="1" pivotButton="0" quotePrefix="0" xfId="1">
      <alignment horizontal="right" vertical="center" wrapText="1"/>
    </xf>
    <xf numFmtId="0" fontId="26" fillId="0" borderId="7" applyAlignment="1" pivotButton="0" quotePrefix="0" xfId="0">
      <alignment vertical="center" wrapText="1"/>
    </xf>
    <xf numFmtId="0" fontId="26" fillId="0" borderId="5" applyAlignment="1" pivotButton="0" quotePrefix="0" xfId="0">
      <alignment vertical="center" wrapText="1"/>
    </xf>
    <xf numFmtId="0" fontId="26" fillId="0" borderId="6" applyAlignment="1" pivotButton="0" quotePrefix="0" xfId="0">
      <alignment vertical="center" wrapText="1"/>
    </xf>
    <xf numFmtId="0" fontId="14" fillId="0" borderId="8" applyAlignment="1" pivotButton="0" quotePrefix="0" xfId="0">
      <alignment horizontal="center" vertical="center" wrapText="1"/>
    </xf>
    <xf numFmtId="0" fontId="14" fillId="0" borderId="12" applyAlignment="1" pivotButton="0" quotePrefix="0" xfId="0">
      <alignment horizontal="center" vertical="center" wrapText="1"/>
    </xf>
    <xf numFmtId="0" fontId="6" fillId="0" borderId="0" applyAlignment="1" pivotButton="0" quotePrefix="0" xfId="0">
      <alignment horizontal="center" vertical="center"/>
    </xf>
    <xf numFmtId="164" fontId="6" fillId="2" borderId="0" applyAlignment="1" pivotButton="0" quotePrefix="0" xfId="1">
      <alignment horizontal="left" vertical="center" wrapText="1"/>
    </xf>
    <xf numFmtId="0" fontId="26" fillId="0" borderId="0" applyAlignment="1" pivotButton="0" quotePrefix="0" xfId="0">
      <alignment horizontal="left" vertical="center"/>
    </xf>
    <xf numFmtId="0" fontId="14" fillId="0" borderId="0" applyAlignment="1" pivotButton="0" quotePrefix="0" xfId="0">
      <alignment horizontal="center" vertical="center"/>
    </xf>
    <xf numFmtId="0" fontId="6" fillId="0" borderId="1" applyAlignment="1" pivotButton="0" quotePrefix="0" xfId="0">
      <alignment horizontal="justify" vertical="center" wrapText="1"/>
    </xf>
    <xf numFmtId="0" fontId="27" fillId="0" borderId="0" applyAlignment="1" pivotButton="0" quotePrefix="0" xfId="0">
      <alignment horizontal="left" vertical="center"/>
    </xf>
    <xf numFmtId="0" fontId="14" fillId="0" borderId="2" applyAlignment="1" pivotButton="0" quotePrefix="0" xfId="0">
      <alignment horizontal="center" vertical="center" wrapText="1"/>
    </xf>
    <xf numFmtId="0" fontId="14" fillId="0" borderId="13" applyAlignment="1" pivotButton="0" quotePrefix="0" xfId="0">
      <alignment horizontal="center" vertical="center" wrapText="1"/>
    </xf>
    <xf numFmtId="164" fontId="14" fillId="2" borderId="1" applyAlignment="1" pivotButton="0" quotePrefix="0" xfId="1">
      <alignment horizontal="center" vertical="center" wrapText="1"/>
    </xf>
    <xf numFmtId="0" fontId="26" fillId="2" borderId="0" applyAlignment="1" pivotButton="0" quotePrefix="0" xfId="0">
      <alignment horizontal="left"/>
    </xf>
    <xf numFmtId="0" fontId="14" fillId="2" borderId="0" applyAlignment="1" pivotButton="0" quotePrefix="0" xfId="0">
      <alignment horizontal="left" vertical="top" wrapText="1"/>
    </xf>
    <xf numFmtId="0" fontId="26" fillId="2" borderId="0" applyAlignment="1" pivotButton="0" quotePrefix="0" xfId="0">
      <alignment horizontal="left" vertical="top" wrapText="1"/>
    </xf>
    <xf numFmtId="0" fontId="14" fillId="2" borderId="0" applyAlignment="1" pivotButton="0" quotePrefix="0" xfId="0">
      <alignment horizontal="left"/>
    </xf>
    <xf numFmtId="0" fontId="26" fillId="2" borderId="0" applyAlignment="1" pivotButton="0" quotePrefix="0" xfId="0">
      <alignment horizontal="left" wrapText="1"/>
    </xf>
    <xf numFmtId="0" fontId="26" fillId="2" borderId="0" applyAlignment="1" pivotButton="0" quotePrefix="0" xfId="0">
      <alignment horizontal="left" vertical="center" wrapText="1"/>
    </xf>
    <xf numFmtId="0" fontId="1" fillId="2" borderId="0" applyAlignment="1" pivotButton="0" quotePrefix="0" xfId="0">
      <alignment horizontal="left" vertical="center"/>
    </xf>
    <xf numFmtId="0" fontId="21" fillId="0" borderId="2" applyAlignment="1" pivotButton="0" quotePrefix="0" xfId="0">
      <alignment horizontal="center" vertical="center" wrapText="1"/>
    </xf>
    <xf numFmtId="0" fontId="21" fillId="0" borderId="13" applyAlignment="1" pivotButton="0" quotePrefix="0" xfId="0">
      <alignment horizontal="center" vertical="center" wrapText="1"/>
    </xf>
    <xf numFmtId="3" fontId="21" fillId="0" borderId="2" applyAlignment="1" pivotButton="0" quotePrefix="0" xfId="0">
      <alignment horizontal="right" vertical="center" wrapText="1"/>
    </xf>
    <xf numFmtId="3" fontId="21" fillId="0" borderId="13" applyAlignment="1" pivotButton="0" quotePrefix="0" xfId="0">
      <alignment horizontal="right" vertical="center" wrapText="1"/>
    </xf>
    <xf numFmtId="0" fontId="21" fillId="0" borderId="14" applyAlignment="1" pivotButton="0" quotePrefix="0" xfId="0">
      <alignment horizontal="center" vertical="center" wrapText="1"/>
    </xf>
    <xf numFmtId="0" fontId="21" fillId="0" borderId="3" applyAlignment="1" pivotButton="0" quotePrefix="0" xfId="0">
      <alignment horizontal="center" vertical="center" wrapText="1"/>
    </xf>
    <xf numFmtId="3" fontId="21" fillId="0" borderId="2" applyAlignment="1" pivotButton="0" quotePrefix="0" xfId="0">
      <alignment horizontal="center" vertical="center" wrapText="1"/>
    </xf>
    <xf numFmtId="3" fontId="21" fillId="0" borderId="13" applyAlignment="1" pivotButton="0" quotePrefix="0" xfId="0">
      <alignment horizontal="center" vertical="center" wrapText="1"/>
    </xf>
    <xf numFmtId="0" fontId="22" fillId="2" borderId="0" applyAlignment="1" pivotButton="0" quotePrefix="0" xfId="0">
      <alignment horizontal="left"/>
    </xf>
    <xf numFmtId="0" fontId="22" fillId="2" borderId="0" applyAlignment="1" pivotButton="0" quotePrefix="0" xfId="0">
      <alignment horizontal="left"/>
    </xf>
    <xf numFmtId="0" fontId="22" fillId="2" borderId="28" applyAlignment="1" pivotButton="0" quotePrefix="0" xfId="0">
      <alignment horizontal="left"/>
    </xf>
    <xf numFmtId="0" fontId="22" fillId="2" borderId="29" pivotButton="0" quotePrefix="0" xfId="0"/>
    <xf numFmtId="0" fontId="31" fillId="0" borderId="0" applyAlignment="1" pivotButton="0" quotePrefix="0" xfId="0">
      <alignment horizontal="center" vertical="top" wrapText="1"/>
    </xf>
    <xf numFmtId="0" fontId="202" fillId="0" borderId="0" applyAlignment="1" pivotButton="0" quotePrefix="0" xfId="0">
      <alignment horizontal="left" vertical="top" wrapText="1"/>
    </xf>
    <xf numFmtId="0" fontId="31" fillId="0" borderId="0" applyAlignment="1" pivotButton="0" quotePrefix="0" xfId="0">
      <alignment horizontal="center" vertical="top"/>
    </xf>
    <xf numFmtId="0" fontId="33" fillId="0" borderId="0" applyAlignment="1" pivotButton="0" quotePrefix="0" xfId="0">
      <alignment horizontal="center" vertical="center"/>
    </xf>
    <xf numFmtId="0" fontId="32" fillId="0" borderId="55" applyAlignment="1" pivotButton="0" quotePrefix="0" xfId="0">
      <alignment horizontal="center" vertical="center" wrapText="1"/>
    </xf>
    <xf numFmtId="0" fontId="32" fillId="0" borderId="57" applyAlignment="1" pivotButton="0" quotePrefix="0" xfId="0">
      <alignment horizontal="center" vertical="center" wrapText="1"/>
    </xf>
    <xf numFmtId="168" fontId="201" fillId="0" borderId="55" applyAlignment="1" pivotButton="0" quotePrefix="0" xfId="0">
      <alignment horizontal="right" vertical="center" wrapText="1"/>
    </xf>
    <xf numFmtId="168" fontId="201" fillId="0" borderId="58" applyAlignment="1" pivotButton="0" quotePrefix="0" xfId="0">
      <alignment horizontal="right" vertical="center" wrapText="1"/>
    </xf>
    <xf numFmtId="168" fontId="201" fillId="0" borderId="57" applyAlignment="1" pivotButton="0" quotePrefix="0" xfId="0">
      <alignment horizontal="right" vertical="center" wrapText="1"/>
    </xf>
    <xf numFmtId="0" fontId="173" fillId="0" borderId="55" applyAlignment="1" pivotButton="0" quotePrefix="0" xfId="0">
      <alignment horizontal="center" vertical="center" wrapText="1"/>
    </xf>
    <xf numFmtId="0" fontId="173" fillId="0" borderId="57" applyAlignment="1" pivotButton="0" quotePrefix="0" xfId="0">
      <alignment horizontal="center" vertical="center" wrapText="1"/>
    </xf>
    <xf numFmtId="168" fontId="200" fillId="0" borderId="55" applyAlignment="1" pivotButton="0" quotePrefix="0" xfId="0">
      <alignment horizontal="right" vertical="center" wrapText="1"/>
    </xf>
    <xf numFmtId="168" fontId="200" fillId="0" borderId="58" applyAlignment="1" pivotButton="0" quotePrefix="0" xfId="0">
      <alignment horizontal="right" vertical="center" wrapText="1"/>
    </xf>
    <xf numFmtId="168" fontId="200" fillId="0" borderId="57" applyAlignment="1" pivotButton="0" quotePrefix="0" xfId="0">
      <alignment horizontal="right" vertical="center" wrapText="1"/>
    </xf>
    <xf numFmtId="0" fontId="32" fillId="0" borderId="0" applyAlignment="1" pivotButton="0" quotePrefix="0" xfId="0">
      <alignment horizontal="left" vertical="top" wrapText="1"/>
    </xf>
    <xf numFmtId="0" fontId="196" fillId="0" borderId="0" applyAlignment="1" pivotButton="0" quotePrefix="0" xfId="0">
      <alignment horizontal="center" vertical="center" wrapText="1"/>
    </xf>
    <xf numFmtId="0" fontId="197" fillId="0" borderId="0" applyAlignment="1" pivotButton="0" quotePrefix="0" xfId="0">
      <alignment horizontal="center" vertical="top"/>
    </xf>
    <xf numFmtId="0" fontId="173" fillId="0" borderId="60" applyAlignment="1" pivotButton="0" quotePrefix="0" xfId="0">
      <alignment horizontal="center" vertical="center" wrapText="1"/>
    </xf>
    <xf numFmtId="0" fontId="173" fillId="0" borderId="56" applyAlignment="1" pivotButton="0" quotePrefix="0" xfId="0">
      <alignment horizontal="center" vertical="center" wrapText="1"/>
    </xf>
    <xf numFmtId="0" fontId="173" fillId="0" borderId="61" applyAlignment="1" pivotButton="0" quotePrefix="0" xfId="0">
      <alignment horizontal="center" vertical="center" wrapText="1"/>
    </xf>
    <xf numFmtId="0" fontId="173" fillId="0" borderId="62" applyAlignment="1" pivotButton="0" quotePrefix="0" xfId="0">
      <alignment horizontal="center" vertical="center" wrapText="1"/>
    </xf>
    <xf numFmtId="0" fontId="173" fillId="0" borderId="58" applyAlignment="1" pivotButton="0" quotePrefix="0" xfId="0">
      <alignment horizontal="center" vertical="center" wrapText="1"/>
    </xf>
    <xf numFmtId="0" fontId="173" fillId="0" borderId="55" applyAlignment="1" pivotButton="0" quotePrefix="0" xfId="0">
      <alignment horizontal="center" vertical="center"/>
    </xf>
    <xf numFmtId="0" fontId="173" fillId="0" borderId="57" applyAlignment="1" pivotButton="0" quotePrefix="0" xfId="0">
      <alignment horizontal="center" vertical="center"/>
    </xf>
    <xf numFmtId="0" fontId="173" fillId="0" borderId="58" applyAlignment="1" pivotButton="0" quotePrefix="0" xfId="0">
      <alignment horizontal="center" vertical="center"/>
    </xf>
    <xf numFmtId="0" fontId="186" fillId="0" borderId="0" applyAlignment="1" pivotButton="0" quotePrefix="0" xfId="0">
      <alignment horizontal="center"/>
    </xf>
    <xf numFmtId="0" fontId="22" fillId="0" borderId="0" applyAlignment="1" pivotButton="0" quotePrefix="0" xfId="0">
      <alignment horizontal="center"/>
    </xf>
    <xf numFmtId="0" fontId="187" fillId="32" borderId="49" applyAlignment="1" pivotButton="0" quotePrefix="0" xfId="0">
      <alignment horizontal="center" vertical="center" wrapText="1"/>
    </xf>
    <xf numFmtId="0" fontId="187" fillId="32" borderId="52" applyAlignment="1" pivotButton="0" quotePrefix="0" xfId="0">
      <alignment horizontal="center" vertical="center" wrapText="1"/>
    </xf>
    <xf numFmtId="0" fontId="187" fillId="32" borderId="50" applyAlignment="1" pivotButton="0" quotePrefix="0" xfId="0">
      <alignment horizontal="center" vertical="center" wrapText="1"/>
    </xf>
    <xf numFmtId="0" fontId="187" fillId="32" borderId="51" applyAlignment="1" pivotButton="0" quotePrefix="0" xfId="0">
      <alignment horizontal="center" vertical="center" wrapText="1"/>
    </xf>
    <xf numFmtId="14" fontId="187" fillId="32" borderId="49" applyAlignment="1" pivotButton="0" quotePrefix="0" xfId="0">
      <alignment horizontal="center" vertical="center" wrapText="1"/>
    </xf>
    <xf numFmtId="14" fontId="187" fillId="32" borderId="52" applyAlignment="1" pivotButton="0" quotePrefix="0" xfId="0">
      <alignment horizontal="center" vertical="center" wrapText="1"/>
    </xf>
    <xf numFmtId="0" fontId="10" fillId="0" borderId="0" applyAlignment="1" pivotButton="0" quotePrefix="0" xfId="0">
      <alignment horizontal="center" wrapText="1"/>
    </xf>
    <xf numFmtId="0" fontId="21" fillId="0" borderId="0" applyAlignment="1" pivotButton="0" quotePrefix="0" xfId="0">
      <alignment horizontal="left"/>
    </xf>
    <xf numFmtId="0" fontId="187" fillId="28" borderId="45" applyAlignment="1" pivotButton="0" quotePrefix="0" xfId="0">
      <alignment horizontal="center" vertical="center" wrapText="1"/>
    </xf>
    <xf numFmtId="0" fontId="187" fillId="28" borderId="46" applyAlignment="1" pivotButton="0" quotePrefix="0" xfId="0">
      <alignment horizontal="center" vertical="center" wrapText="1"/>
    </xf>
    <xf numFmtId="14" fontId="187" fillId="28" borderId="41" applyAlignment="1" pivotButton="0" quotePrefix="0" xfId="0">
      <alignment horizontal="center" vertical="center" wrapText="1"/>
    </xf>
    <xf numFmtId="14" fontId="187" fillId="28" borderId="47" applyAlignment="1" pivotButton="0" quotePrefix="0" xfId="0">
      <alignment horizontal="center" vertical="center" wrapText="1"/>
    </xf>
    <xf numFmtId="0" fontId="187" fillId="28" borderId="41" applyAlignment="1" pivotButton="0" quotePrefix="0" xfId="0">
      <alignment horizontal="center" vertical="center" wrapText="1"/>
    </xf>
    <xf numFmtId="0" fontId="187" fillId="28" borderId="47" applyAlignment="1" pivotButton="0" quotePrefix="0" xfId="0">
      <alignment horizontal="center" vertical="center" wrapText="1"/>
    </xf>
    <xf numFmtId="164" fontId="21" fillId="2" borderId="0" applyAlignment="1" pivotButton="0" quotePrefix="0" xfId="1">
      <alignment horizontal="center"/>
    </xf>
    <xf numFmtId="164" fontId="26" fillId="2" borderId="0" applyAlignment="1" pivotButton="0" quotePrefix="0" xfId="1">
      <alignment horizontal="center" vertical="top"/>
    </xf>
    <xf numFmtId="166" fontId="23" fillId="2" borderId="1" applyAlignment="1" pivotButton="0" quotePrefix="0" xfId="0">
      <alignment horizontal="center" vertical="top" wrapText="1"/>
    </xf>
    <xf numFmtId="164" fontId="23" fillId="2" borderId="1" applyAlignment="1" pivotButton="0" quotePrefix="0" xfId="1">
      <alignment vertical="top" wrapText="1"/>
    </xf>
    <xf numFmtId="164" fontId="22" fillId="2" borderId="1" applyAlignment="1" pivotButton="0" quotePrefix="0" xfId="1">
      <alignment horizontal="center" vertical="top" wrapText="1"/>
    </xf>
    <xf numFmtId="164" fontId="22" fillId="2" borderId="1" applyAlignment="1" pivotButton="0" quotePrefix="0" xfId="1">
      <alignment horizontal="center" vertical="center"/>
    </xf>
    <xf numFmtId="164" fontId="34" fillId="2" borderId="0" pivotButton="0" quotePrefix="0" xfId="0"/>
    <xf numFmtId="164" fontId="170" fillId="2" borderId="1" applyAlignment="1" pivotButton="0" quotePrefix="0" xfId="1">
      <alignment horizontal="center" vertical="top" wrapText="1"/>
    </xf>
    <xf numFmtId="164" fontId="21" fillId="2" borderId="1" applyAlignment="1" pivotButton="0" quotePrefix="0" xfId="1">
      <alignment horizontal="center" vertical="top" wrapText="1"/>
    </xf>
    <xf numFmtId="164" fontId="21" fillId="2" borderId="0" pivotButton="0" quotePrefix="0" xfId="0"/>
    <xf numFmtId="43" fontId="21" fillId="2" borderId="0" pivotButton="0" quotePrefix="0" xfId="0"/>
    <xf numFmtId="164" fontId="177" fillId="2" borderId="0" pivotButton="0" quotePrefix="0" xfId="0"/>
    <xf numFmtId="164" fontId="21" fillId="2" borderId="2" applyAlignment="1" pivotButton="0" quotePrefix="0" xfId="1">
      <alignment vertical="top" wrapText="1"/>
    </xf>
    <xf numFmtId="0" fontId="0" fillId="0" borderId="13" pivotButton="0" quotePrefix="0" xfId="0"/>
    <xf numFmtId="164" fontId="21" fillId="2" borderId="13" applyAlignment="1" pivotButton="0" quotePrefix="0" xfId="1">
      <alignment vertical="top" wrapText="1"/>
    </xf>
    <xf numFmtId="164" fontId="21" fillId="2" borderId="1" applyAlignment="1" pivotButton="0" quotePrefix="0" xfId="1">
      <alignment horizontal="center"/>
    </xf>
    <xf numFmtId="164" fontId="22" fillId="2" borderId="2" applyAlignment="1" pivotButton="0" quotePrefix="0" xfId="1">
      <alignment vertical="top" wrapText="1"/>
    </xf>
    <xf numFmtId="164" fontId="22" fillId="2" borderId="13" applyAlignment="1" pivotButton="0" quotePrefix="0" xfId="1">
      <alignment vertical="top" wrapText="1"/>
    </xf>
    <xf numFmtId="43" fontId="21" fillId="2" borderId="0" pivotButton="0" quotePrefix="0" xfId="1"/>
    <xf numFmtId="43" fontId="177" fillId="2" borderId="0" pivotButton="0" quotePrefix="0" xfId="0"/>
    <xf numFmtId="164" fontId="177" fillId="2" borderId="0" pivotButton="0" quotePrefix="0" xfId="1"/>
    <xf numFmtId="164" fontId="170" fillId="2" borderId="0" pivotButton="0" quotePrefix="0" xfId="0"/>
    <xf numFmtId="43" fontId="19" fillId="0" borderId="8" applyAlignment="1" pivotButton="0" quotePrefix="0" xfId="1">
      <alignment horizontal="justify" vertical="center" wrapText="1"/>
    </xf>
    <xf numFmtId="164" fontId="20" fillId="0" borderId="6" applyAlignment="1" pivotButton="0" quotePrefix="0" xfId="1">
      <alignment horizontal="center" vertical="center" wrapText="1"/>
    </xf>
    <xf numFmtId="0" fontId="18" fillId="0" borderId="31" applyAlignment="1" pivotButton="0" quotePrefix="0" xfId="0">
      <alignment horizontal="center" vertical="center" wrapText="1"/>
    </xf>
    <xf numFmtId="0" fontId="18" fillId="0" borderId="31" applyAlignment="1" pivotButton="0" quotePrefix="0" xfId="0">
      <alignment horizontal="justify" vertical="center" wrapText="1"/>
    </xf>
    <xf numFmtId="0" fontId="19" fillId="0" borderId="31" applyAlignment="1" pivotButton="0" quotePrefix="0" xfId="0">
      <alignment horizontal="center" vertical="center" wrapText="1"/>
    </xf>
    <xf numFmtId="43" fontId="19" fillId="0" borderId="31" applyAlignment="1" pivotButton="0" quotePrefix="0" xfId="1">
      <alignment horizontal="justify" vertical="center" wrapText="1"/>
    </xf>
    <xf numFmtId="0" fontId="0" fillId="0" borderId="12" pivotButton="0" quotePrefix="0" xfId="0"/>
    <xf numFmtId="43" fontId="18" fillId="0" borderId="6" applyAlignment="1" pivotButton="0" quotePrefix="0" xfId="1">
      <alignment horizontal="justify" vertical="center" wrapText="1"/>
    </xf>
    <xf numFmtId="0" fontId="0" fillId="0" borderId="4" pivotButton="0" quotePrefix="0" xfId="0"/>
    <xf numFmtId="43" fontId="18" fillId="0" borderId="31" applyAlignment="1" pivotButton="0" quotePrefix="0" xfId="1">
      <alignment horizontal="justify" vertical="center" wrapText="1"/>
    </xf>
    <xf numFmtId="0" fontId="0" fillId="0" borderId="3" pivotButton="0" quotePrefix="0" xfId="0"/>
    <xf numFmtId="0" fontId="19" fillId="4" borderId="40" applyAlignment="1" pivotButton="0" quotePrefix="0" xfId="0">
      <alignment horizontal="center" vertical="top" wrapText="1"/>
    </xf>
    <xf numFmtId="0" fontId="19" fillId="4" borderId="31" applyAlignment="1" pivotButton="0" quotePrefix="0" xfId="0">
      <alignment horizontal="center" vertical="top" wrapText="1"/>
    </xf>
    <xf numFmtId="0" fontId="0" fillId="0" borderId="6" pivotButton="0" quotePrefix="0" xfId="0"/>
    <xf numFmtId="166" fontId="20" fillId="2" borderId="5" applyAlignment="1" pivotButton="0" quotePrefix="0" xfId="0">
      <alignment horizontal="center" vertical="top" wrapText="1"/>
    </xf>
    <xf numFmtId="166" fontId="23" fillId="2" borderId="5" applyAlignment="1" pivotButton="0" quotePrefix="0" xfId="0">
      <alignment horizontal="center" vertical="top" wrapText="1"/>
    </xf>
    <xf numFmtId="164" fontId="0" fillId="0" borderId="0" pivotButton="0" quotePrefix="0" xfId="0"/>
    <xf numFmtId="164" fontId="17" fillId="0" borderId="0" pivotButton="0" quotePrefix="0" xfId="0"/>
    <xf numFmtId="164" fontId="176" fillId="0" borderId="0" pivotButton="0" quotePrefix="0" xfId="0"/>
    <xf numFmtId="164" fontId="175" fillId="0" borderId="0" pivotButton="0" quotePrefix="0" xfId="0"/>
    <xf numFmtId="164" fontId="0" fillId="2" borderId="0" pivotButton="0" quotePrefix="0" xfId="0"/>
    <xf numFmtId="164" fontId="16" fillId="2" borderId="0" pivotButton="0" quotePrefix="0" xfId="1"/>
    <xf numFmtId="164" fontId="24" fillId="2" borderId="0" applyAlignment="1" pivotButton="0" quotePrefix="0" xfId="1">
      <alignment horizontal="right" vertical="center"/>
    </xf>
    <xf numFmtId="164" fontId="24" fillId="2" borderId="0" applyAlignment="1" pivotButton="0" quotePrefix="0" xfId="1">
      <alignment vertical="center"/>
    </xf>
    <xf numFmtId="43" fontId="24" fillId="0" borderId="0" applyAlignment="1" pivotButton="0" quotePrefix="0" xfId="1">
      <alignment vertical="center"/>
    </xf>
    <xf numFmtId="164" fontId="6" fillId="2" borderId="0" applyAlignment="1" pivotButton="0" quotePrefix="0" xfId="1">
      <alignment horizontal="left" vertical="center" wrapText="1"/>
    </xf>
    <xf numFmtId="164" fontId="6" fillId="2" borderId="0" applyAlignment="1" pivotButton="0" quotePrefix="0" xfId="1">
      <alignment horizontal="right" vertical="center" wrapText="1"/>
    </xf>
    <xf numFmtId="164" fontId="24" fillId="2" borderId="0" applyAlignment="1" pivotButton="0" quotePrefix="0" xfId="1">
      <alignment horizontal="left" vertical="center"/>
    </xf>
    <xf numFmtId="164" fontId="14" fillId="2" borderId="1" applyAlignment="1" pivotButton="0" quotePrefix="0" xfId="1">
      <alignment horizontal="center" vertical="center" wrapText="1"/>
    </xf>
    <xf numFmtId="0" fontId="14" fillId="0" borderId="40" applyAlignment="1" pivotButton="0" quotePrefix="0" xfId="0">
      <alignment horizontal="center" vertical="center" wrapText="1"/>
    </xf>
    <xf numFmtId="0" fontId="14" fillId="0" borderId="31" applyAlignment="1" pivotButton="0" quotePrefix="0" xfId="0">
      <alignment horizontal="center" vertical="center" wrapText="1"/>
    </xf>
    <xf numFmtId="164" fontId="14" fillId="2" borderId="1" applyAlignment="1" pivotButton="0" quotePrefix="0" xfId="1">
      <alignment horizontal="right" vertical="center" wrapText="1"/>
    </xf>
    <xf numFmtId="43" fontId="14" fillId="0" borderId="1" applyAlignment="1" pivotButton="0" quotePrefix="0" xfId="0">
      <alignment horizontal="center" vertical="center" wrapText="1"/>
    </xf>
    <xf numFmtId="43" fontId="28" fillId="0" borderId="0" applyAlignment="1" pivotButton="0" quotePrefix="0" xfId="1">
      <alignment vertical="center"/>
    </xf>
    <xf numFmtId="164" fontId="28" fillId="0" borderId="0" applyAlignment="1" pivotButton="0" quotePrefix="0" xfId="1">
      <alignment vertical="center"/>
    </xf>
    <xf numFmtId="164" fontId="28" fillId="0" borderId="0" applyAlignment="1" pivotButton="0" quotePrefix="0" xfId="0">
      <alignment vertical="center"/>
    </xf>
    <xf numFmtId="43" fontId="26" fillId="0" borderId="1" applyAlignment="1" pivotButton="0" quotePrefix="0" xfId="0">
      <alignment horizontal="center" vertical="center" wrapText="1"/>
    </xf>
    <xf numFmtId="164" fontId="26" fillId="2" borderId="1" applyAlignment="1" pivotButton="0" quotePrefix="0" xfId="1">
      <alignment horizontal="right" vertical="center" wrapText="1"/>
    </xf>
    <xf numFmtId="164" fontId="24" fillId="2" borderId="1" applyAlignment="1" pivotButton="0" quotePrefix="0" xfId="1">
      <alignment horizontal="right" vertical="center"/>
    </xf>
    <xf numFmtId="164" fontId="24" fillId="0" borderId="0" applyAlignment="1" pivotButton="0" quotePrefix="0" xfId="1">
      <alignment vertical="center"/>
    </xf>
    <xf numFmtId="164" fontId="26" fillId="2" borderId="3" applyAlignment="1" pivotButton="0" quotePrefix="0" xfId="1">
      <alignment horizontal="right" vertical="center" wrapText="1"/>
    </xf>
    <xf numFmtId="164" fontId="14" fillId="0" borderId="1" applyAlignment="1" pivotButton="0" quotePrefix="0" xfId="1">
      <alignment horizontal="right" vertical="center" wrapText="1"/>
    </xf>
    <xf numFmtId="164" fontId="2" fillId="2" borderId="1" applyAlignment="1" pivotButton="0" quotePrefix="0" xfId="1">
      <alignment horizontal="right" vertical="center" wrapText="1"/>
    </xf>
    <xf numFmtId="164" fontId="26" fillId="2" borderId="1" pivotButton="0" quotePrefix="0" xfId="1"/>
    <xf numFmtId="164" fontId="6" fillId="2" borderId="1" applyAlignment="1" pivotButton="0" quotePrefix="0" xfId="1">
      <alignment horizontal="right" vertical="center" wrapText="1"/>
    </xf>
    <xf numFmtId="164" fontId="170" fillId="2" borderId="1" applyAlignment="1" pivotButton="0" quotePrefix="0" xfId="1">
      <alignment horizontal="right" vertical="center" wrapText="1"/>
    </xf>
    <xf numFmtId="164" fontId="24" fillId="0" borderId="0" applyAlignment="1" pivotButton="0" quotePrefix="0" xfId="0">
      <alignment vertical="center"/>
    </xf>
    <xf numFmtId="0" fontId="26" fillId="0" borderId="31" applyAlignment="1" pivotButton="0" quotePrefix="0" xfId="0">
      <alignment horizontal="center" vertical="center" wrapText="1"/>
    </xf>
    <xf numFmtId="164" fontId="26" fillId="0" borderId="1" applyAlignment="1" pivotButton="0" quotePrefix="0" xfId="1">
      <alignment horizontal="right" vertical="center" wrapText="1"/>
    </xf>
    <xf numFmtId="164" fontId="170" fillId="0" borderId="1" applyAlignment="1" pivotButton="0" quotePrefix="0" xfId="1">
      <alignment horizontal="right" vertical="center" wrapText="1"/>
    </xf>
    <xf numFmtId="43" fontId="184" fillId="0" borderId="0" pivotButton="0" quotePrefix="0" xfId="1"/>
    <xf numFmtId="164" fontId="2" fillId="3" borderId="1" applyAlignment="1" pivotButton="0" quotePrefix="0" xfId="1">
      <alignment horizontal="right" vertical="center" wrapText="1"/>
    </xf>
    <xf numFmtId="0" fontId="26" fillId="0" borderId="40" applyAlignment="1" pivotButton="0" quotePrefix="0" xfId="0">
      <alignment vertical="center" wrapText="1"/>
    </xf>
    <xf numFmtId="0" fontId="0" fillId="0" borderId="11" pivotButton="0" quotePrefix="0" xfId="0"/>
    <xf numFmtId="0" fontId="0" fillId="0" borderId="5" pivotButton="0" quotePrefix="0" xfId="0"/>
    <xf numFmtId="164" fontId="75" fillId="0" borderId="0" applyAlignment="1" pivotButton="0" quotePrefix="0" xfId="1">
      <alignment horizontal="center" wrapText="1"/>
    </xf>
    <xf numFmtId="43" fontId="28" fillId="0" borderId="0" applyAlignment="1" pivotButton="0" quotePrefix="0" xfId="0">
      <alignment vertical="center"/>
    </xf>
    <xf numFmtId="164" fontId="27" fillId="2" borderId="0" applyAlignment="1" pivotButton="0" quotePrefix="0" xfId="1">
      <alignment horizontal="right" vertical="center" wrapText="1"/>
    </xf>
    <xf numFmtId="164" fontId="27" fillId="2" borderId="0" applyAlignment="1" pivotButton="0" quotePrefix="0" xfId="1">
      <alignment horizontal="center" vertical="center" wrapText="1"/>
    </xf>
    <xf numFmtId="165" fontId="24" fillId="0" borderId="0" applyAlignment="1" pivotButton="0" quotePrefix="0" xfId="0">
      <alignment vertical="center"/>
    </xf>
    <xf numFmtId="164" fontId="22" fillId="2" borderId="0" applyAlignment="1" pivotButton="0" quotePrefix="0" xfId="1">
      <alignment horizontal="left" vertical="center"/>
    </xf>
    <xf numFmtId="164" fontId="32" fillId="2" borderId="1" applyAlignment="1" pivotButton="0" quotePrefix="0" xfId="1">
      <alignment horizontal="center"/>
    </xf>
    <xf numFmtId="164" fontId="32" fillId="2" borderId="1" applyAlignment="1" pivotButton="0" quotePrefix="0" xfId="1">
      <alignment horizontal="right"/>
    </xf>
    <xf numFmtId="164" fontId="21" fillId="2" borderId="1" pivotButton="0" quotePrefix="0" xfId="1"/>
    <xf numFmtId="164" fontId="173" fillId="27" borderId="1" applyAlignment="1" pivotButton="0" quotePrefix="0" xfId="1">
      <alignment horizontal="right"/>
    </xf>
    <xf numFmtId="164" fontId="173" fillId="2" borderId="0" applyAlignment="1" pivotButton="0" quotePrefix="0" xfId="1">
      <alignment horizontal="right"/>
    </xf>
    <xf numFmtId="164" fontId="21" fillId="2" borderId="0" pivotButton="0" quotePrefix="0" xfId="1"/>
    <xf numFmtId="164" fontId="173" fillId="2" borderId="1" applyAlignment="1" pivotButton="0" quotePrefix="0" xfId="1">
      <alignment horizontal="center"/>
    </xf>
    <xf numFmtId="164" fontId="173" fillId="2" borderId="1" applyAlignment="1" pivotButton="0" quotePrefix="0" xfId="1">
      <alignment horizontal="center" vertical="center" wrapText="1"/>
    </xf>
    <xf numFmtId="164" fontId="185" fillId="2" borderId="1" pivotButton="0" quotePrefix="0" xfId="1"/>
    <xf numFmtId="164" fontId="170" fillId="2" borderId="1" pivotButton="0" quotePrefix="0" xfId="1"/>
    <xf numFmtId="43" fontId="26" fillId="2" borderId="1" pivotButton="0" quotePrefix="0" xfId="1"/>
    <xf numFmtId="164" fontId="26" fillId="2" borderId="1" applyAlignment="1" pivotButton="0" quotePrefix="0" xfId="0">
      <alignment horizontal="right"/>
    </xf>
    <xf numFmtId="43" fontId="26" fillId="2" borderId="1" pivotButton="0" quotePrefix="0" xfId="0"/>
    <xf numFmtId="164" fontId="22" fillId="2" borderId="0" pivotButton="0" quotePrefix="0" xfId="0"/>
    <xf numFmtId="164" fontId="170" fillId="2" borderId="1" applyAlignment="1" pivotButton="0" quotePrefix="0" xfId="0">
      <alignment horizontal="right"/>
    </xf>
    <xf numFmtId="164" fontId="21" fillId="2" borderId="0" applyAlignment="1" pivotButton="0" quotePrefix="0" xfId="1">
      <alignment vertical="center"/>
    </xf>
    <xf numFmtId="164" fontId="170" fillId="2" borderId="1" applyAlignment="1" pivotButton="0" quotePrefix="0" xfId="1">
      <alignment horizontal="right"/>
    </xf>
    <xf numFmtId="164" fontId="185" fillId="27" borderId="1" applyAlignment="1" pivotButton="0" quotePrefix="0" xfId="1">
      <alignment horizontal="right"/>
    </xf>
    <xf numFmtId="164" fontId="26" fillId="2" borderId="0" applyAlignment="1" pivotButton="0" quotePrefix="0" xfId="1">
      <alignment vertical="center"/>
    </xf>
    <xf numFmtId="164" fontId="26" fillId="2" borderId="1" applyAlignment="1" pivotButton="0" quotePrefix="0" xfId="1">
      <alignment horizontal="center" vertical="center" wrapText="1"/>
    </xf>
    <xf numFmtId="164" fontId="170" fillId="2" borderId="0" pivotButton="0" quotePrefix="0" xfId="1"/>
    <xf numFmtId="164" fontId="26" fillId="2" borderId="0" pivotButton="0" quotePrefix="0" xfId="1"/>
    <xf numFmtId="164" fontId="32" fillId="2" borderId="3" applyAlignment="1" pivotButton="0" quotePrefix="0" xfId="1">
      <alignment horizontal="right" wrapText="1"/>
    </xf>
    <xf numFmtId="164" fontId="32" fillId="2" borderId="1" applyAlignment="1" pivotButton="0" quotePrefix="0" xfId="1">
      <alignment horizontal="right" wrapText="1"/>
    </xf>
    <xf numFmtId="164" fontId="21" fillId="2" borderId="3" applyAlignment="1" pivotButton="0" quotePrefix="0" xfId="1">
      <alignment wrapText="1"/>
    </xf>
    <xf numFmtId="164" fontId="21" fillId="2" borderId="1" applyAlignment="1" pivotButton="0" quotePrefix="0" xfId="1">
      <alignment wrapText="1"/>
    </xf>
    <xf numFmtId="164" fontId="21" fillId="2" borderId="1" applyAlignment="1" pivotButton="0" quotePrefix="0" xfId="0">
      <alignment wrapText="1"/>
    </xf>
    <xf numFmtId="43" fontId="21" fillId="2" borderId="1" applyAlignment="1" pivotButton="0" quotePrefix="0" xfId="0">
      <alignment wrapText="1"/>
    </xf>
    <xf numFmtId="164" fontId="173" fillId="2" borderId="3" applyAlignment="1" pivotButton="0" quotePrefix="0" xfId="1">
      <alignment horizontal="right" wrapText="1"/>
    </xf>
    <xf numFmtId="164" fontId="32" fillId="2" borderId="1" applyAlignment="1" pivotButton="0" quotePrefix="0" xfId="1">
      <alignment horizontal="justify" wrapText="1"/>
    </xf>
    <xf numFmtId="164" fontId="173" fillId="27" borderId="1" applyAlignment="1" pivotButton="0" quotePrefix="0" xfId="1">
      <alignment horizontal="right" wrapText="1"/>
    </xf>
    <xf numFmtId="164" fontId="173" fillId="2" borderId="0" applyAlignment="1" pivotButton="0" quotePrefix="0" xfId="1">
      <alignment horizontal="right" wrapText="1"/>
    </xf>
    <xf numFmtId="0" fontId="0" fillId="0" borderId="28" pivotButton="0" quotePrefix="0" xfId="0"/>
    <xf numFmtId="164" fontId="32" fillId="2" borderId="1" applyAlignment="1" pivotButton="0" quotePrefix="0" xfId="1">
      <alignment horizontal="center" vertical="center" wrapText="1"/>
    </xf>
    <xf numFmtId="164" fontId="22" fillId="2" borderId="0" pivotButton="0" quotePrefix="0" xfId="1"/>
    <xf numFmtId="164" fontId="32" fillId="27" borderId="1" applyAlignment="1" pivotButton="0" quotePrefix="0" xfId="1">
      <alignment horizontal="right"/>
    </xf>
    <xf numFmtId="164" fontId="173" fillId="2" borderId="1" applyAlignment="1" pivotButton="0" quotePrefix="0" xfId="1">
      <alignment horizontal="center" wrapText="1"/>
    </xf>
    <xf numFmtId="0" fontId="0" fillId="0" borderId="29" pivotButton="0" quotePrefix="0" xfId="0"/>
    <xf numFmtId="0" fontId="21" fillId="0" borderId="1" applyAlignment="1" pivotButton="0" quotePrefix="0" xfId="0">
      <alignment horizontal="center" vertical="center" wrapText="1"/>
    </xf>
    <xf numFmtId="3" fontId="21" fillId="0" borderId="1" applyAlignment="1" pivotButton="0" quotePrefix="0" xfId="0">
      <alignment horizontal="right" vertical="center" wrapText="1"/>
    </xf>
    <xf numFmtId="164" fontId="21" fillId="0" borderId="1" applyAlignment="1" pivotButton="0" quotePrefix="0" xfId="1">
      <alignment horizontal="center" vertical="center" wrapText="1"/>
    </xf>
    <xf numFmtId="164" fontId="30" fillId="2" borderId="1" applyAlignment="1" pivotButton="0" quotePrefix="0" xfId="1">
      <alignment horizontal="right" wrapText="1"/>
    </xf>
    <xf numFmtId="164" fontId="193" fillId="2" borderId="1" applyAlignment="1" pivotButton="0" quotePrefix="0" xfId="1">
      <alignment horizontal="right" wrapText="1"/>
    </xf>
    <xf numFmtId="164" fontId="31" fillId="2" borderId="1" applyAlignment="1" pivotButton="0" quotePrefix="0" xfId="1">
      <alignment horizontal="right" wrapText="1"/>
    </xf>
    <xf numFmtId="43" fontId="21" fillId="0" borderId="1" applyAlignment="1" pivotButton="0" quotePrefix="0" xfId="1">
      <alignment horizontal="justify" vertical="center" wrapText="1"/>
    </xf>
    <xf numFmtId="0" fontId="0" fillId="0" borderId="56" pivotButton="0" quotePrefix="0" xfId="0"/>
    <xf numFmtId="0" fontId="0" fillId="0" borderId="57" pivotButton="0" quotePrefix="0" xfId="0"/>
    <xf numFmtId="0" fontId="0" fillId="0" borderId="58" pivotButton="0" quotePrefix="0" xfId="0"/>
    <xf numFmtId="0" fontId="0" fillId="0" borderId="60" pivotButton="0" quotePrefix="0" xfId="0"/>
    <xf numFmtId="0" fontId="0" fillId="0" borderId="61" pivotButton="0" quotePrefix="0" xfId="0"/>
    <xf numFmtId="0" fontId="0" fillId="0" borderId="62" pivotButton="0" quotePrefix="0" xfId="0"/>
    <xf numFmtId="168" fontId="200" fillId="0" borderId="55" applyAlignment="1" pivotButton="0" quotePrefix="0" xfId="0">
      <alignment horizontal="right" vertical="center" wrapText="1"/>
    </xf>
    <xf numFmtId="168" fontId="201" fillId="0" borderId="55" applyAlignment="1" pivotButton="0" quotePrefix="0" xfId="0">
      <alignment horizontal="right" vertical="center" wrapText="1"/>
    </xf>
    <xf numFmtId="43" fontId="0" fillId="0" borderId="0" pivotButton="0" quotePrefix="0" xfId="1"/>
    <xf numFmtId="43" fontId="176" fillId="0" borderId="0" pivotButton="0" quotePrefix="0" xfId="1"/>
    <xf numFmtId="43" fontId="0" fillId="0" borderId="1" pivotButton="0" quotePrefix="0" xfId="0"/>
    <xf numFmtId="43" fontId="24" fillId="0" borderId="0" pivotButton="0" quotePrefix="0" xfId="1"/>
    <xf numFmtId="43" fontId="184" fillId="0" borderId="0" pivotButton="0" quotePrefix="0" xfId="0"/>
    <xf numFmtId="43" fontId="184" fillId="0" borderId="1" pivotButton="0" quotePrefix="0" xfId="0"/>
    <xf numFmtId="43" fontId="24" fillId="0" borderId="0" pivotButton="0" quotePrefix="0" xfId="0"/>
    <xf numFmtId="43" fontId="176" fillId="0" borderId="0" pivotButton="0" quotePrefix="0" xfId="0"/>
    <xf numFmtId="43" fontId="24" fillId="0" borderId="1" pivotButton="0" quotePrefix="0" xfId="0"/>
    <xf numFmtId="43" fontId="0" fillId="3" borderId="1" pivotButton="0" quotePrefix="0" xfId="0"/>
    <xf numFmtId="43" fontId="24" fillId="3" borderId="0" pivotButton="0" quotePrefix="0" xfId="1"/>
    <xf numFmtId="43" fontId="184" fillId="3" borderId="0" pivotButton="0" quotePrefix="0" xfId="0"/>
    <xf numFmtId="43" fontId="0" fillId="0" borderId="1" pivotButton="0" quotePrefix="0" xfId="1"/>
    <xf numFmtId="43" fontId="192" fillId="30" borderId="1" applyAlignment="1" pivotButton="0" quotePrefix="0" xfId="1">
      <alignment horizontal="right" vertical="center"/>
    </xf>
    <xf numFmtId="43" fontId="0" fillId="0" borderId="0" pivotButton="0" quotePrefix="0" xfId="0"/>
    <xf numFmtId="0" fontId="187" fillId="32" borderId="69" applyAlignment="1" pivotButton="0" quotePrefix="0" xfId="0">
      <alignment horizontal="center" vertical="center" wrapText="1"/>
    </xf>
    <xf numFmtId="0" fontId="0" fillId="0" borderId="51" pivotButton="0" quotePrefix="0" xfId="0"/>
    <xf numFmtId="0" fontId="0" fillId="0" borderId="52" pivotButton="0" quotePrefix="0" xfId="0"/>
    <xf numFmtId="164" fontId="21" fillId="0" borderId="0" pivotButton="0" quotePrefix="0" xfId="1"/>
    <xf numFmtId="164" fontId="10" fillId="0" borderId="0" pivotButton="0" quotePrefix="0" xfId="211"/>
    <xf numFmtId="164" fontId="21" fillId="0" borderId="1" pivotButton="0" quotePrefix="0" xfId="1"/>
    <xf numFmtId="43" fontId="0" fillId="0" borderId="0" applyAlignment="1" pivotButton="0" quotePrefix="0" xfId="1">
      <alignment vertical="center" wrapText="1"/>
    </xf>
    <xf numFmtId="164" fontId="21" fillId="0" borderId="0" pivotButton="0" quotePrefix="0" xfId="0"/>
    <xf numFmtId="43" fontId="177" fillId="0" borderId="0" pivotButton="0" quotePrefix="0" xfId="0"/>
    <xf numFmtId="164" fontId="177" fillId="0" borderId="0" pivotButton="0" quotePrefix="0" xfId="0"/>
    <xf numFmtId="43" fontId="21" fillId="0" borderId="0" pivotButton="0" quotePrefix="0" xfId="1"/>
    <xf numFmtId="164" fontId="26" fillId="0" borderId="1" pivotButton="0" quotePrefix="0" xfId="1"/>
    <xf numFmtId="167" fontId="21" fillId="0" borderId="0" pivotButton="0" quotePrefix="0" xfId="0"/>
    <xf numFmtId="164" fontId="170" fillId="0" borderId="1" pivotButton="0" quotePrefix="0" xfId="1"/>
    <xf numFmtId="43" fontId="21" fillId="0" borderId="0" pivotButton="0" quotePrefix="0" xfId="0"/>
    <xf numFmtId="0" fontId="203" fillId="34" borderId="0" applyAlignment="1" pivotButton="0" quotePrefix="0" xfId="0">
      <alignment horizontal="center" vertical="center" wrapText="1"/>
    </xf>
    <xf numFmtId="0" fontId="0" fillId="34" borderId="0" pivotButton="0" quotePrefix="0" xfId="0"/>
    <xf numFmtId="0" fontId="204" fillId="0" borderId="0" pivotButton="0" quotePrefix="0" xfId="0"/>
    <xf numFmtId="0" fontId="205" fillId="0" borderId="0" pivotButton="0" quotePrefix="0" xfId="0"/>
    <xf numFmtId="0" fontId="206" fillId="35" borderId="0" applyAlignment="1" pivotButton="0" quotePrefix="0" xfId="0">
      <alignment horizontal="center" vertical="center"/>
    </xf>
    <xf numFmtId="0" fontId="207" fillId="0" borderId="0" pivotButton="0" quotePrefix="0" xfId="0"/>
    <xf numFmtId="0" fontId="208" fillId="0" borderId="0" pivotButton="0" quotePrefix="0" xfId="0"/>
    <xf numFmtId="0" fontId="209" fillId="0" borderId="0" pivotButton="0" quotePrefix="0" xfId="0"/>
    <xf numFmtId="0" fontId="210" fillId="36" borderId="0" applyAlignment="1" pivotButton="0" quotePrefix="0" xfId="0">
      <alignment horizontal="center" vertical="center" wrapText="1"/>
    </xf>
    <xf numFmtId="0" fontId="0" fillId="0" borderId="0" applyAlignment="1" pivotButton="0" quotePrefix="0" xfId="0">
      <alignment horizontal="center"/>
    </xf>
    <xf numFmtId="3" fontId="207" fillId="0" borderId="0" applyAlignment="1" pivotButton="0" quotePrefix="0" xfId="0">
      <alignment horizontal="right"/>
    </xf>
    <xf numFmtId="3" fontId="0" fillId="37" borderId="0" applyAlignment="1" pivotButton="0" quotePrefix="0" xfId="0">
      <alignment horizontal="right"/>
    </xf>
    <xf numFmtId="0" fontId="211" fillId="0" borderId="0" pivotButton="0" quotePrefix="0" xfId="0"/>
    <xf numFmtId="0" fontId="212" fillId="38" borderId="0" applyAlignment="1" pivotButton="0" quotePrefix="0" xfId="0">
      <alignment horizontal="center" vertical="center"/>
    </xf>
    <xf numFmtId="0" fontId="210" fillId="39" borderId="0" applyAlignment="1" pivotButton="0" quotePrefix="0" xfId="0">
      <alignment horizontal="center" vertical="center"/>
    </xf>
    <xf numFmtId="3" fontId="0" fillId="0" borderId="0" applyAlignment="1" pivotButton="0" quotePrefix="0" xfId="0">
      <alignment horizontal="right"/>
    </xf>
    <xf numFmtId="0" fontId="213" fillId="40" borderId="0" applyAlignment="1" pivotButton="0" quotePrefix="0" xfId="0">
      <alignment horizontal="center"/>
    </xf>
    <xf numFmtId="0" fontId="213" fillId="0" borderId="0" applyAlignment="1" pivotButton="0" quotePrefix="0" xfId="0">
      <alignment horizontal="center"/>
    </xf>
  </cellXfs>
  <cellStyles count="769">
    <cellStyle name="Normal" xfId="0" builtinId="0"/>
    <cellStyle name="Comma" xfId="1" builtinId="3"/>
    <cellStyle name="Normal 2" xfId="2"/>
    <cellStyle name="Comma 3" xfId="3"/>
    <cellStyle name="Normal - Style1" xfId="4"/>
    <cellStyle name="Normal 2 3" xfId="5"/>
    <cellStyle name="Comma 2 3" xfId="6"/>
    <cellStyle name="_x0001_" xfId="7"/>
    <cellStyle name="          _x000d__x000a_shell=progman.exe_x000d__x000a_m" xfId="8"/>
    <cellStyle name="%" xfId="9"/>
    <cellStyle name="." xfId="10"/>
    <cellStyle name="??" xfId="11"/>
    <cellStyle name="?? [0.00]_ Att. 1- Cover" xfId="12"/>
    <cellStyle name="?? [0]" xfId="13"/>
    <cellStyle name="?_x001d_??%U©÷u&amp;H©÷9_x0008_? s_x000a__x0007__x0001__x0001_" xfId="14"/>
    <cellStyle name="???? [0.00]_BE-BQ" xfId="15"/>
    <cellStyle name="??????????????????? [0]_FTC_OFFER" xfId="16"/>
    <cellStyle name="???????????????????_FTC_OFFER" xfId="17"/>
    <cellStyle name="????_BE-BQ" xfId="18"/>
    <cellStyle name="???[0]_?? DI" xfId="19"/>
    <cellStyle name="???_?? DI" xfId="20"/>
    <cellStyle name="??[0]_BRE" xfId="21"/>
    <cellStyle name="??_ ??? ???? " xfId="22"/>
    <cellStyle name="??A? [0]_laroux_1_¢¬???¢â? " xfId="23"/>
    <cellStyle name="??A?_laroux_1_¢¬???¢â? " xfId="24"/>
    <cellStyle name="?¡±¢¥?_?¨ù??¢´¢¥_¢¬???¢â? " xfId="25"/>
    <cellStyle name="?ðÇ%U?&amp;H?_x0008_?s_x000a__x0007__x0001__x0001_" xfId="26"/>
    <cellStyle name="[0]_Chi phÝ kh¸c_V" xfId="27"/>
    <cellStyle name="_A5-v4-client's comment" xfId="28"/>
    <cellStyle name="_Ac 2160 - BO" xfId="29"/>
    <cellStyle name="_Agri 06 - D section - Wholebank - v1 - nth+dth" xfId="30"/>
    <cellStyle name="_Agri 06 - SAD for 2006 - V1" xfId="31"/>
    <cellStyle name="_Agribank 2006 - Leadsheet Branch" xfId="32"/>
    <cellStyle name="_Agribank-Lam Dong-N &amp; P-V5-after 4238" xfId="33"/>
    <cellStyle name="_Bang Chi tieu (2)" xfId="34"/>
    <cellStyle name="_Bao Viet Consolidated - Audit 2007 - Working FS-LDL-06-12-07process" xfId="35"/>
    <cellStyle name="_Book1" xfId="36"/>
    <cellStyle name="_Book1_1" xfId="37"/>
    <cellStyle name="_Book1_2" xfId="38"/>
    <cellStyle name="_Book1_Book1" xfId="39"/>
    <cellStyle name="_Book1_key" xfId="40"/>
    <cellStyle name="_Book1_rep" xfId="41"/>
    <cellStyle name="_Book1_Tong hop dieu chinh du phong va nhom no-Ver2-NBH" xfId="42"/>
    <cellStyle name="_Book1_VBARD-07-P SECTION-Internal fund transfer-whole bank" xfId="43"/>
    <cellStyle name="_Book1_VBARD-2006-Loan consolidation-v8" xfId="44"/>
    <cellStyle name="_Book2" xfId="45"/>
    <cellStyle name="_BQL Ha Noi" xfId="46"/>
    <cellStyle name="_BVVN_Audit151007_ WTB and FS preparation_ 15.10.2007_NTX_v30" xfId="47"/>
    <cellStyle name="_BVVN_Audit151007_ WTB and FS preparation_ 15.10.2007_NTX_v33" xfId="48"/>
    <cellStyle name="_CANDOI2007" xfId="49"/>
    <cellStyle name="_Castrol - Stock WPs - NTHH" xfId="50"/>
    <cellStyle name="_control" xfId="51"/>
    <cellStyle name="_dieu chinh du phong va du thu 0ffsite-v2-nvc" xfId="52"/>
    <cellStyle name="_EXPENSES-1206" xfId="53"/>
    <cellStyle name="_GL CODE2006" xfId="54"/>
    <cellStyle name="_Grv4A" xfId="55"/>
    <cellStyle name="_HAN SU DUNG" xfId="56"/>
    <cellStyle name="_In 07 - phu luc 3" xfId="57"/>
    <cellStyle name="_KD - Stock WPs - NTHH" xfId="58"/>
    <cellStyle name="_KT (2)" xfId="59"/>
    <cellStyle name="_KT (2)_1" xfId="60"/>
    <cellStyle name="_KT (2)_2" xfId="61"/>
    <cellStyle name="_KT (2)_2_TG-TH" xfId="62"/>
    <cellStyle name="_KT (2)_2_TG-TH_Book1" xfId="63"/>
    <cellStyle name="_KT (2)_2_TG-TH_Book1_1" xfId="64"/>
    <cellStyle name="_KT (2)_2_TG-TH_Book1_Book1" xfId="65"/>
    <cellStyle name="_KT (2)_3" xfId="66"/>
    <cellStyle name="_KT (2)_3_TG-TH" xfId="67"/>
    <cellStyle name="_KT (2)_3_TG-TH_Book1" xfId="68"/>
    <cellStyle name="_KT (2)_4" xfId="69"/>
    <cellStyle name="_KT (2)_4_Book1" xfId="70"/>
    <cellStyle name="_KT (2)_4_Book1_1" xfId="71"/>
    <cellStyle name="_KT (2)_4_Book1_Book1" xfId="72"/>
    <cellStyle name="_KT (2)_4_TG-TH" xfId="73"/>
    <cellStyle name="_KT (2)_5" xfId="74"/>
    <cellStyle name="_KT (2)_5_Book1" xfId="75"/>
    <cellStyle name="_KT (2)_5_Book1_1" xfId="76"/>
    <cellStyle name="_KT (2)_5_Book1_Book1" xfId="77"/>
    <cellStyle name="_KT (2)_Book1" xfId="78"/>
    <cellStyle name="_KT (2)_TG-TH" xfId="79"/>
    <cellStyle name="_KT_TG" xfId="80"/>
    <cellStyle name="_KT_TG_1" xfId="81"/>
    <cellStyle name="_KT_TG_1_Book1" xfId="82"/>
    <cellStyle name="_KT_TG_1_Book1_1" xfId="83"/>
    <cellStyle name="_KT_TG_1_Book1_Book1" xfId="84"/>
    <cellStyle name="_KT_TG_2" xfId="85"/>
    <cellStyle name="_KT_TG_2_Book1" xfId="86"/>
    <cellStyle name="_KT_TG_2_Book1_1" xfId="87"/>
    <cellStyle name="_KT_TG_2_Book1_Book1" xfId="88"/>
    <cellStyle name="_KT_TG_3" xfId="89"/>
    <cellStyle name="_KT_TG_4" xfId="90"/>
    <cellStyle name="_Leadsheet-BVSC-151007.v11" xfId="91"/>
    <cellStyle name="_Leasing I - Phu luc III bc cho kiem toan" xfId="92"/>
    <cellStyle name="_LG xuyen" xfId="93"/>
    <cellStyle name="_Note to FS_F section" xfId="94"/>
    <cellStyle name="_NV cac ben lien quan-last" xfId="95"/>
    <cellStyle name="_Phu luc 1" xfId="96"/>
    <cellStyle name="_Purchasing 2006 YTD" xfId="97"/>
    <cellStyle name="_Report-Loan" xfId="98"/>
    <cellStyle name="_RM FG INV 2006" xfId="99"/>
    <cellStyle name="_SAD 8Nov_Branch_v2" xfId="100"/>
    <cellStyle name="_SAD 8Nov_T &amp; S setionv2" xfId="101"/>
    <cellStyle name="_sao ke tien gui" xfId="102"/>
    <cellStyle name="_Sheet1" xfId="103"/>
    <cellStyle name="_Sheet1_BIDV - TOII - Phu luc" xfId="104"/>
    <cellStyle name="_Sheet1_Sheet2" xfId="105"/>
    <cellStyle name="_Sheet2" xfId="106"/>
    <cellStyle name="_Sheet2_1" xfId="107"/>
    <cellStyle name="_Sheet2_BIDV - TOII - Phu luc" xfId="108"/>
    <cellStyle name="_Sheet3" xfId="109"/>
    <cellStyle name="_Sheet3_BIDV - TOII - Phu luc" xfId="110"/>
    <cellStyle name="_Sheet3_Sheet2" xfId="111"/>
    <cellStyle name="_Sheet4" xfId="112"/>
    <cellStyle name="_Sheet4_BIDV - TOII - Phu luc" xfId="113"/>
    <cellStyle name="_Sheet4_Sheet2" xfId="114"/>
    <cellStyle name="_Sheet5" xfId="115"/>
    <cellStyle name="_Sheet5_BIDV - TOII - Phu luc" xfId="116"/>
    <cellStyle name="_Sheet5_Sheet2" xfId="117"/>
    <cellStyle name="_Stock" xfId="118"/>
    <cellStyle name="_TG-TH" xfId="119"/>
    <cellStyle name="_TG-TH_1" xfId="120"/>
    <cellStyle name="_TG-TH_1_Book1" xfId="121"/>
    <cellStyle name="_TG-TH_1_Book1_1" xfId="122"/>
    <cellStyle name="_TG-TH_1_Book1_Book1" xfId="123"/>
    <cellStyle name="_TG-TH_2" xfId="124"/>
    <cellStyle name="_TG-TH_2_Book1" xfId="125"/>
    <cellStyle name="_TG-TH_2_Book1_1" xfId="126"/>
    <cellStyle name="_TG-TH_2_Book1_Book1" xfId="127"/>
    <cellStyle name="_TG-TH_3" xfId="128"/>
    <cellStyle name="_TG-TH_4" xfId="129"/>
    <cellStyle name="_tong kho 31.12.06" xfId="130"/>
    <cellStyle name="_TSCD" xfId="131"/>
    <cellStyle name="_VBARD 07 - PL 1-3 Bieu mau cty con" xfId="132"/>
    <cellStyle name="_VBARD 07 - PL 1-3 Bieu mau cty con-version 1" xfId="133"/>
    <cellStyle name="_VBARD 07 - PL 1-3 Bieu mau cty CTTC1" xfId="134"/>
    <cellStyle name="_VBARD 07-LEASING I-THEO DOI TAI LIEU" xfId="135"/>
    <cellStyle name="_VBARD 07-PL 1-3 Bieu mau cty con" xfId="136"/>
    <cellStyle name="_VBARD-06-Tan Binh-Loan speadsheet-NBH" xfId="137"/>
    <cellStyle name="_VBARD-07-P SECTION-Internal fund transfer-whole bank" xfId="138"/>
    <cellStyle name="_VBARD-2006-Loan consolidation-v8" xfId="139"/>
    <cellStyle name="_Working TB to Sama" xfId="140"/>
    <cellStyle name="_WP F section 2006" xfId="141"/>
    <cellStyle name="_Write off" xfId="142"/>
    <cellStyle name="_WTB_VPF1_311206-v1" xfId="143"/>
    <cellStyle name="~1" xfId="144"/>
    <cellStyle name="’Ê‰Ý [0.00]_laroux" xfId="145"/>
    <cellStyle name="’Ê‰Ý_laroux" xfId="146"/>
    <cellStyle name="•W?_¯–ì" xfId="147"/>
    <cellStyle name="•W_’·Šú‰p•¶" xfId="148"/>
    <cellStyle name="•W€_Format" xfId="149"/>
    <cellStyle name="0" xfId="150"/>
    <cellStyle name="1" xfId="151"/>
    <cellStyle name="1_BIDV - TOII - Phu luc" xfId="152"/>
    <cellStyle name="1_Sheet2" xfId="153"/>
    <cellStyle name="15" xfId="154"/>
    <cellStyle name="¹éºÐÀ²_      " xfId="155"/>
    <cellStyle name="2" xfId="156"/>
    <cellStyle name="20" xfId="157"/>
    <cellStyle name="24" xfId="158"/>
    <cellStyle name="3" xfId="159"/>
    <cellStyle name="4" xfId="160"/>
    <cellStyle name="6" xfId="161"/>
    <cellStyle name="a" xfId="162"/>
    <cellStyle name="Account" xfId="163"/>
    <cellStyle name="ÅëÈ­ [0]_      " xfId="164"/>
    <cellStyle name="AeE­ [0]_INQUIRY ¿?¾÷AßAø " xfId="165"/>
    <cellStyle name="ÅëÈ­ [0]_L601CPT" xfId="166"/>
    <cellStyle name="ÅëÈ­_      " xfId="167"/>
    <cellStyle name="AeE­_INQUIRY ¿?¾÷AßAø " xfId="168"/>
    <cellStyle name="ÅëÈ­_L601CPT" xfId="169"/>
    <cellStyle name="ÄÞ¸¶ [0]_      " xfId="170"/>
    <cellStyle name="AÞ¸¶ [0]_INQUIRY ¿?¾÷AßAø " xfId="171"/>
    <cellStyle name="ÄÞ¸¶ [0]_L601CPT" xfId="172"/>
    <cellStyle name="ÄÞ¸¶_      " xfId="173"/>
    <cellStyle name="AÞ¸¶_INQUIRY ¿?¾÷AßAø " xfId="174"/>
    <cellStyle name="ÄÞ¸¶_L601CPT" xfId="175"/>
    <cellStyle name="AutoFormat Options" xfId="176"/>
    <cellStyle name="C?AØ_¿?¾÷CoE² " xfId="177"/>
    <cellStyle name="Ç¥ÁØ_      " xfId="178"/>
    <cellStyle name="C￥AØ_¿μ¾÷CoE² " xfId="179"/>
    <cellStyle name="Ç¥ÁØ_±¸¹Ì´ëÃ¥" xfId="180"/>
    <cellStyle name="C￥AØ_Sheet1_¿μ¾÷CoE² " xfId="181"/>
    <cellStyle name="Calc Currency (0)" xfId="182"/>
    <cellStyle name="Calc Currency (2)" xfId="183"/>
    <cellStyle name="Calc Percent (0)" xfId="184"/>
    <cellStyle name="Calc Percent (1)" xfId="185"/>
    <cellStyle name="Calc Percent (2)" xfId="186"/>
    <cellStyle name="Calc Units (0)" xfId="187"/>
    <cellStyle name="Calc Units (1)" xfId="188"/>
    <cellStyle name="Calc Units (2)" xfId="189"/>
    <cellStyle name="category" xfId="190"/>
    <cellStyle name="CC1" xfId="191"/>
    <cellStyle name="CC2" xfId="192"/>
    <cellStyle name="Centered Heading" xfId="193"/>
    <cellStyle name="Cerrency_Sheet2_XANGDAU" xfId="194"/>
    <cellStyle name="chchuyen" xfId="195"/>
    <cellStyle name="Chi phÝ kh¸c_Book1" xfId="196"/>
    <cellStyle name="CHUONG" xfId="197"/>
    <cellStyle name="Column_Title" xfId="198"/>
    <cellStyle name="Comma %" xfId="199"/>
    <cellStyle name="Comma [00]" xfId="200"/>
    <cellStyle name="Comma [1]" xfId="201"/>
    <cellStyle name="Comma 0.0" xfId="202"/>
    <cellStyle name="Comma 0.0%" xfId="203"/>
    <cellStyle name="Comma 0.00" xfId="204"/>
    <cellStyle name="Comma 0.00%" xfId="205"/>
    <cellStyle name="Comma 0.000" xfId="206"/>
    <cellStyle name="Comma 0.000%" xfId="207"/>
    <cellStyle name="Comma 10" xfId="208"/>
    <cellStyle name="Comma 11" xfId="209"/>
    <cellStyle name="Comma 12" xfId="210"/>
    <cellStyle name="Comma 2" xfId="211"/>
    <cellStyle name="Comma 2 2" xfId="212"/>
    <cellStyle name="Comma 3 2" xfId="213"/>
    <cellStyle name="Comma 3 3" xfId="214"/>
    <cellStyle name="Comma 3 4" xfId="215"/>
    <cellStyle name="Comma 4" xfId="216"/>
    <cellStyle name="Comma 4 2" xfId="217"/>
    <cellStyle name="Comma 4 3" xfId="218"/>
    <cellStyle name="Comma 5" xfId="219"/>
    <cellStyle name="Comma 5 2" xfId="220"/>
    <cellStyle name="Comma 5 3" xfId="221"/>
    <cellStyle name="Comma 6" xfId="222"/>
    <cellStyle name="Comma 7" xfId="223"/>
    <cellStyle name="Comma 8" xfId="224"/>
    <cellStyle name="Comma 9" xfId="225"/>
    <cellStyle name="comma zerodec" xfId="226"/>
    <cellStyle name="Comma0" xfId="227"/>
    <cellStyle name="Company Name" xfId="228"/>
    <cellStyle name="computed cell" xfId="229"/>
    <cellStyle name="cong" xfId="230"/>
    <cellStyle name="Copied" xfId="231"/>
    <cellStyle name="CR Comma" xfId="232"/>
    <cellStyle name="CR Currency" xfId="233"/>
    <cellStyle name="Credit" xfId="234"/>
    <cellStyle name="Credit subtotal" xfId="235"/>
    <cellStyle name="Credit Total" xfId="236"/>
    <cellStyle name="CT1" xfId="237"/>
    <cellStyle name="CT2" xfId="238"/>
    <cellStyle name="CT4" xfId="239"/>
    <cellStyle name="CT5" xfId="240"/>
    <cellStyle name="ct7" xfId="241"/>
    <cellStyle name="ct8" xfId="242"/>
    <cellStyle name="cth1" xfId="243"/>
    <cellStyle name="Cthuc" xfId="244"/>
    <cellStyle name="Cthuc1" xfId="245"/>
    <cellStyle name="Curråncy [0]_FCST_RESULTS" xfId="246"/>
    <cellStyle name="Currency %" xfId="247"/>
    <cellStyle name="Currency [0]ßmud plant bolted_RESULTS" xfId="248"/>
    <cellStyle name="Currency [00]" xfId="249"/>
    <cellStyle name="Currency 0.0" xfId="250"/>
    <cellStyle name="Currency 0.0%" xfId="251"/>
    <cellStyle name="Currency 0.00" xfId="252"/>
    <cellStyle name="Currency 0.00%" xfId="253"/>
    <cellStyle name="Currency 0.000" xfId="254"/>
    <cellStyle name="Currency 0.000%" xfId="255"/>
    <cellStyle name="Currency![0]_FCSt (2)" xfId="256"/>
    <cellStyle name="Currency0" xfId="257"/>
    <cellStyle name="Currency1" xfId="258"/>
    <cellStyle name="Customstyle" xfId="259"/>
    <cellStyle name="d" xfId="260"/>
    <cellStyle name="d%" xfId="261"/>
    <cellStyle name="d1" xfId="262"/>
    <cellStyle name="Dan" xfId="263"/>
    <cellStyle name="Date" xfId="264"/>
    <cellStyle name="Date Short" xfId="265"/>
    <cellStyle name="Date_3_BCTC_Viet" xfId="266"/>
    <cellStyle name="DAUDE" xfId="267"/>
    <cellStyle name="Debit" xfId="268"/>
    <cellStyle name="Debit subtotal" xfId="269"/>
    <cellStyle name="Debit Total" xfId="270"/>
    <cellStyle name="DELTA" xfId="271"/>
    <cellStyle name="Dezimal [0]_35ERI8T2gbIEMixb4v26icuOo" xfId="272"/>
    <cellStyle name="Dezimal_35ERI8T2gbIEMixb4v26icuOo" xfId="273"/>
    <cellStyle name="dim border" xfId="274"/>
    <cellStyle name="Dollar (zero dec)" xfId="275"/>
    <cellStyle name="Dziesi?tny [0]_Invoices2001Slovakia" xfId="276"/>
    <cellStyle name="Dziesi?tny_Invoices2001Slovakia" xfId="277"/>
    <cellStyle name="Dziesietny [0]_Invoices2001Slovakia" xfId="278"/>
    <cellStyle name="Dziesiętny [0]_Invoices2001Slovakia" xfId="279"/>
    <cellStyle name="Dziesietny [0]_Invoices2001Slovakia_01_Nha so 1_Dien" xfId="280"/>
    <cellStyle name="Dziesiętny [0]_Invoices2001Slovakia_01_Nha so 1_Dien" xfId="281"/>
    <cellStyle name="Dziesietny [0]_Invoices2001Slovakia_10_Nha so 10_Dien1" xfId="282"/>
    <cellStyle name="Dziesiętny [0]_Invoices2001Slovakia_10_Nha so 10_Dien1" xfId="283"/>
    <cellStyle name="Dziesietny [0]_Invoices2001Slovakia_Agri 06 - SAD for 2006 - V1" xfId="284"/>
    <cellStyle name="Dziesiętny [0]_Invoices2001Slovakia_Book1" xfId="285"/>
    <cellStyle name="Dziesietny [0]_Invoices2001Slovakia_Book1_1" xfId="286"/>
    <cellStyle name="Dziesiętny [0]_Invoices2001Slovakia_Book1_1" xfId="287"/>
    <cellStyle name="Dziesietny [0]_Invoices2001Slovakia_Book1_1_Book1" xfId="288"/>
    <cellStyle name="Dziesiętny [0]_Invoices2001Slovakia_Book1_1_Book1" xfId="289"/>
    <cellStyle name="Dziesietny [0]_Invoices2001Slovakia_Book1_2" xfId="290"/>
    <cellStyle name="Dziesiętny [0]_Invoices2001Slovakia_Book1_2" xfId="291"/>
    <cellStyle name="Dziesietny [0]_Invoices2001Slovakia_CK_CP" xfId="292"/>
    <cellStyle name="Dziesiętny [0]_Invoices2001Slovakia_Nhµ ®Ó xe" xfId="293"/>
    <cellStyle name="Dziesietny [0]_Invoices2001Slovakia_Nha bao ve(28-7-05)" xfId="294"/>
    <cellStyle name="Dziesiętny [0]_Invoices2001Slovakia_Nha bao ve(28-7-05)" xfId="295"/>
    <cellStyle name="Dziesietny [0]_Invoices2001Slovakia_NHA de xe nguyen du" xfId="296"/>
    <cellStyle name="Dziesiętny [0]_Invoices2001Slovakia_NHA de xe nguyen du" xfId="297"/>
    <cellStyle name="Dziesietny [0]_Invoices2001Slovakia_Nhalamviec VTC(25-1-05)" xfId="298"/>
    <cellStyle name="Dziesiętny [0]_Invoices2001Slovakia_Nhalamviec VTC(25-1-05)" xfId="299"/>
    <cellStyle name="Dziesietny [0]_Invoices2001Slovakia_TDT quangngai" xfId="300"/>
    <cellStyle name="Dziesiętny [0]_Invoices2001Slovakia_TDT quangngai" xfId="301"/>
    <cellStyle name="Dziesietny [0]_Invoices2001Slovakia_TMDT(10-5-06)" xfId="302"/>
    <cellStyle name="Dziesietny_Invoices2001Slovakia" xfId="303"/>
    <cellStyle name="Dziesiętny_Invoices2001Slovakia" xfId="304"/>
    <cellStyle name="Dziesietny_Invoices2001Slovakia_01_Nha so 1_Dien" xfId="305"/>
    <cellStyle name="Dziesiętny_Invoices2001Slovakia_01_Nha so 1_Dien" xfId="306"/>
    <cellStyle name="Dziesietny_Invoices2001Slovakia_10_Nha so 10_Dien1" xfId="307"/>
    <cellStyle name="Dziesiętny_Invoices2001Slovakia_10_Nha so 10_Dien1" xfId="308"/>
    <cellStyle name="Dziesietny_Invoices2001Slovakia_Agri 06 - SAD for 2006 - V1" xfId="309"/>
    <cellStyle name="Dziesiętny_Invoices2001Slovakia_Book1" xfId="310"/>
    <cellStyle name="Dziesietny_Invoices2001Slovakia_Book1_1" xfId="311"/>
    <cellStyle name="Dziesiętny_Invoices2001Slovakia_Book1_1" xfId="312"/>
    <cellStyle name="Dziesietny_Invoices2001Slovakia_Book1_1_Book1" xfId="313"/>
    <cellStyle name="Dziesiętny_Invoices2001Slovakia_Book1_1_Book1" xfId="314"/>
    <cellStyle name="Dziesietny_Invoices2001Slovakia_Book1_2" xfId="315"/>
    <cellStyle name="Dziesiętny_Invoices2001Slovakia_Book1_2" xfId="316"/>
    <cellStyle name="Dziesietny_Invoices2001Slovakia_CK_CP" xfId="317"/>
    <cellStyle name="Dziesiętny_Invoices2001Slovakia_Nhµ ®Ó xe" xfId="318"/>
    <cellStyle name="Dziesietny_Invoices2001Slovakia_Nha bao ve(28-7-05)" xfId="319"/>
    <cellStyle name="Dziesiętny_Invoices2001Slovakia_Nha bao ve(28-7-05)" xfId="320"/>
    <cellStyle name="Dziesietny_Invoices2001Slovakia_NHA de xe nguyen du" xfId="321"/>
    <cellStyle name="Dziesiętny_Invoices2001Slovakia_NHA de xe nguyen du" xfId="322"/>
    <cellStyle name="Dziesietny_Invoices2001Slovakia_Nhalamviec VTC(25-1-05)" xfId="323"/>
    <cellStyle name="Dziesiętny_Invoices2001Slovakia_Nhalamviec VTC(25-1-05)" xfId="324"/>
    <cellStyle name="Dziesietny_Invoices2001Slovakia_TDT quangngai" xfId="325"/>
    <cellStyle name="Dziesiętny_Invoices2001Slovakia_TDT quangngai" xfId="326"/>
    <cellStyle name="Dziesietny_Invoices2001Slovakia_TMDT(10-5-06)" xfId="327"/>
    <cellStyle name="Enter Currency (0)" xfId="328"/>
    <cellStyle name="Enter Currency (2)" xfId="329"/>
    <cellStyle name="Enter Units (0)" xfId="330"/>
    <cellStyle name="Enter Units (1)" xfId="331"/>
    <cellStyle name="Enter Units (2)" xfId="332"/>
    <cellStyle name="Entered" xfId="333"/>
    <cellStyle name="Euro" xfId="334"/>
    <cellStyle name="EYSheetHeader1" xfId="335"/>
    <cellStyle name="F2" xfId="336"/>
    <cellStyle name="F3" xfId="337"/>
    <cellStyle name="F4" xfId="338"/>
    <cellStyle name="F5" xfId="339"/>
    <cellStyle name="F6" xfId="340"/>
    <cellStyle name="F7" xfId="341"/>
    <cellStyle name="F8" xfId="342"/>
    <cellStyle name="Fixed" xfId="343"/>
    <cellStyle name="gia" xfId="344"/>
    <cellStyle name="Grey" xfId="345"/>
    <cellStyle name="ha" xfId="346"/>
    <cellStyle name="HỆ THỐNG TKKT CỦA NHĐT&amp;PTVN" xfId="347"/>
    <cellStyle name="HEADER" xfId="348"/>
    <cellStyle name="Header1" xfId="349"/>
    <cellStyle name="Header2" xfId="350"/>
    <cellStyle name="Heading" xfId="351"/>
    <cellStyle name="Heading 1 2" xfId="352"/>
    <cellStyle name="Heading 1 3" xfId="353"/>
    <cellStyle name="Heading 1 4" xfId="354"/>
    <cellStyle name="Heading 1 5" xfId="355"/>
    <cellStyle name="Heading 2 2" xfId="356"/>
    <cellStyle name="Heading 2 3" xfId="357"/>
    <cellStyle name="Heading 2 4" xfId="358"/>
    <cellStyle name="Heading 2 5" xfId="359"/>
    <cellStyle name="Heading No Underline" xfId="360"/>
    <cellStyle name="Heading With Underline" xfId="361"/>
    <cellStyle name="HEADING1" xfId="362"/>
    <cellStyle name="HEADING2" xfId="363"/>
    <cellStyle name="headoption" xfId="364"/>
    <cellStyle name="hidden" xfId="365"/>
    <cellStyle name="HMRCalculated" xfId="366"/>
    <cellStyle name="HMRInput" xfId="367"/>
    <cellStyle name="Hoa-Scholl" xfId="368"/>
    <cellStyle name="i phÝ kh¸c_B¶ng 2" xfId="369"/>
    <cellStyle name="I.3" xfId="370"/>
    <cellStyle name="i·0" xfId="371"/>
    <cellStyle name="ï-¾È»ê_BiÓu TB" xfId="372"/>
    <cellStyle name="Indent" xfId="373"/>
    <cellStyle name="Input [yellow]" xfId="374"/>
    <cellStyle name="Input 2" xfId="375"/>
    <cellStyle name="Input 3" xfId="376"/>
    <cellStyle name="Input 4" xfId="377"/>
    <cellStyle name="Input 5" xfId="378"/>
    <cellStyle name="invoice 8_g1" xfId="379"/>
    <cellStyle name="kh¸c_Bang Chi tieu" xfId="380"/>
    <cellStyle name="khanh" xfId="381"/>
    <cellStyle name="Latest Estimate" xfId="382"/>
    <cellStyle name="Ledger 17 x 11 in" xfId="383"/>
    <cellStyle name="left" xfId="384"/>
    <cellStyle name="lien" xfId="385"/>
    <cellStyle name="Line" xfId="386"/>
    <cellStyle name="Link Currency (0)" xfId="387"/>
    <cellStyle name="Link Currency (2)" xfId="388"/>
    <cellStyle name="Link Units (0)" xfId="389"/>
    <cellStyle name="Link Units (1)" xfId="390"/>
    <cellStyle name="Link Units (2)" xfId="391"/>
    <cellStyle name="luc" xfId="392"/>
    <cellStyle name="luc2" xfId="393"/>
    <cellStyle name="Millares [0]_Well Timing" xfId="394"/>
    <cellStyle name="Millares_Well Timing" xfId="395"/>
    <cellStyle name="Milliers [0]_      " xfId="396"/>
    <cellStyle name="Milliers_      " xfId="397"/>
    <cellStyle name="Model" xfId="398"/>
    <cellStyle name="moi" xfId="399"/>
    <cellStyle name="Moneda [0]_Well Timing" xfId="400"/>
    <cellStyle name="Moneda_Well Timing" xfId="401"/>
    <cellStyle name="Monétaire [0]_      " xfId="402"/>
    <cellStyle name="Monétaire_      " xfId="403"/>
    <cellStyle name="n" xfId="404"/>
    <cellStyle name="n1" xfId="405"/>
    <cellStyle name="New Times Roman" xfId="406"/>
    <cellStyle name="no dec" xfId="407"/>
    <cellStyle name="NoFill" xfId="408"/>
    <cellStyle name="ÑONVÒ" xfId="409"/>
    <cellStyle name="Normal - Style1 2" xfId="410"/>
    <cellStyle name="Normal - Style1 3" xfId="411"/>
    <cellStyle name="Normal - 유형1" xfId="412"/>
    <cellStyle name="Normal 10" xfId="413"/>
    <cellStyle name="Normal 11" xfId="414"/>
    <cellStyle name="Normal 11 2" xfId="415"/>
    <cellStyle name="Normal 12" xfId="416"/>
    <cellStyle name="Normal 13" xfId="417"/>
    <cellStyle name="Normal 14" xfId="418"/>
    <cellStyle name="Normal 15" xfId="419"/>
    <cellStyle name="Normal 16" xfId="420"/>
    <cellStyle name="Normal 17" xfId="421"/>
    <cellStyle name="Normal 18" xfId="422"/>
    <cellStyle name="Normal 19" xfId="423"/>
    <cellStyle name="Normal 2 2" xfId="424"/>
    <cellStyle name="Normal 2 4" xfId="425"/>
    <cellStyle name="Normal 20" xfId="426"/>
    <cellStyle name="Normal 21" xfId="427"/>
    <cellStyle name="Normal 3" xfId="428"/>
    <cellStyle name="Normal 3 2" xfId="429"/>
    <cellStyle name="Normal 3 3" xfId="430"/>
    <cellStyle name="Normal 4" xfId="431"/>
    <cellStyle name="Normal 4 2" xfId="432"/>
    <cellStyle name="Normal 4 3" xfId="433"/>
    <cellStyle name="Normal 5" xfId="434"/>
    <cellStyle name="Normal 6" xfId="435"/>
    <cellStyle name="Normal 6 2" xfId="436"/>
    <cellStyle name="Normal 6 3" xfId="437"/>
    <cellStyle name="Normal 7" xfId="438"/>
    <cellStyle name="Normal 7 2" xfId="439"/>
    <cellStyle name="Normal 7 3" xfId="440"/>
    <cellStyle name="Normal 8" xfId="441"/>
    <cellStyle name="Normal 8 2" xfId="442"/>
    <cellStyle name="Normal 8 3" xfId="443"/>
    <cellStyle name="Normal 9" xfId="444"/>
    <cellStyle name="Normal 9 2" xfId="445"/>
    <cellStyle name="Normal 9 3" xfId="446"/>
    <cellStyle name="Normal1" xfId="447"/>
    <cellStyle name="normální_A" xfId="448"/>
    <cellStyle name="Normalny_Cennik obowiazuje od 06-08-2001 r (1)" xfId="449"/>
    <cellStyle name="Œ…‹æØ‚è [0.00]_††††† " xfId="450"/>
    <cellStyle name="Œ…‹æØ‚è_††††† " xfId="451"/>
    <cellStyle name="oft Excel]_x000d__x000a_Comment=open=/f ‚ðw’è‚·‚é‚ÆAƒ†[ƒU[’è‹`ŠÖ”‚ðŠÖ”“\‚è•t‚¯‚Ìˆê——‚É“o˜^‚·‚é‚±‚Æ‚ª‚Å‚«‚Ü‚·B_x000d__x000a_Maximized" xfId="452"/>
    <cellStyle name="oft Excel]_x000d__x000a_Comment=The open=/f lines load custom functions into the Paste Function list._x000d__x000a_Maximized=2_x000d__x000a_Basics=1_x000d__x000a_A" xfId="453"/>
    <cellStyle name="oft Excel]_x000d__x000a_Comment=The open=/f lines load custom functions into the Paste Function list._x000d__x000a_Maximized=3_x000d__x000a_Basics=1_x000d__x000a_A" xfId="454"/>
    <cellStyle name="omma [0]_Mktg Prog" xfId="455"/>
    <cellStyle name="ormal_Sheet1_1" xfId="456"/>
    <cellStyle name="Package_numbers" xfId="457"/>
    <cellStyle name="paint" xfId="458"/>
    <cellStyle name="Percent %" xfId="459"/>
    <cellStyle name="Percent % Long Underline" xfId="460"/>
    <cellStyle name="Percent %_Worksheet in  US Financial Statements Ref. Workbook - Single Co" xfId="461"/>
    <cellStyle name="Percent (0)" xfId="462"/>
    <cellStyle name="Percent [0]" xfId="463"/>
    <cellStyle name="Percent [00]" xfId="464"/>
    <cellStyle name="Percent [2]" xfId="465"/>
    <cellStyle name="Percent 0.0%" xfId="466"/>
    <cellStyle name="Percent 0.0% Long Underline" xfId="467"/>
    <cellStyle name="Percent 0.00%" xfId="468"/>
    <cellStyle name="Percent 0.00% Long Underline" xfId="469"/>
    <cellStyle name="Percent 0.000%" xfId="470"/>
    <cellStyle name="Percent 0.000% Long Underline" xfId="471"/>
    <cellStyle name="Percent 10" xfId="472"/>
    <cellStyle name="Percent 11" xfId="473"/>
    <cellStyle name="Percent 2" xfId="474"/>
    <cellStyle name="Percent 2 2" xfId="475"/>
    <cellStyle name="Percent 2 3" xfId="476"/>
    <cellStyle name="Percent 2 4" xfId="477"/>
    <cellStyle name="Percent 3" xfId="478"/>
    <cellStyle name="Percent 4" xfId="479"/>
    <cellStyle name="Percent 5" xfId="480"/>
    <cellStyle name="Percent 6" xfId="481"/>
    <cellStyle name="Percent 7" xfId="482"/>
    <cellStyle name="Percent 8" xfId="483"/>
    <cellStyle name="Percent 9" xfId="484"/>
    <cellStyle name="PERCENTAGE" xfId="485"/>
    <cellStyle name="PrePop Currency (0)" xfId="486"/>
    <cellStyle name="PrePop Currency (2)" xfId="487"/>
    <cellStyle name="PrePop Units (0)" xfId="488"/>
    <cellStyle name="PrePop Units (1)" xfId="489"/>
    <cellStyle name="PrePop Units (2)" xfId="490"/>
    <cellStyle name="pricing" xfId="491"/>
    <cellStyle name="Print_header" xfId="492"/>
    <cellStyle name="PSChar" xfId="493"/>
    <cellStyle name="PSHeading" xfId="494"/>
    <cellStyle name="RevList" xfId="495"/>
    <cellStyle name="S—_x0008_" xfId="496"/>
    <cellStyle name="s]_x000d__x000a_spooler=yes_x000d__x000a_load=_x000d__x000a_Beep=yes_x000d__x000a_NullPort=None_x000d__x000a_BorderWidth=3_x000d__x000a_CursorBlinkRate=1200_x000d__x000a_DoubleClickSpeed=452_x000d__x000a_Programs=co" xfId="497"/>
    <cellStyle name="SAPBEXaggData" xfId="498"/>
    <cellStyle name="SAPBEXaggDataEmph" xfId="499"/>
    <cellStyle name="SAPBEXaggItem" xfId="500"/>
    <cellStyle name="SAPBEXchaText" xfId="501"/>
    <cellStyle name="SAPBEXexcBad7" xfId="502"/>
    <cellStyle name="SAPBEXexcBad8" xfId="503"/>
    <cellStyle name="SAPBEXexcBad9" xfId="504"/>
    <cellStyle name="SAPBEXexcCritical4" xfId="505"/>
    <cellStyle name="SAPBEXexcCritical5" xfId="506"/>
    <cellStyle name="SAPBEXexcCritical6" xfId="507"/>
    <cellStyle name="SAPBEXexcGood1" xfId="508"/>
    <cellStyle name="SAPBEXexcGood2" xfId="509"/>
    <cellStyle name="SAPBEXexcGood3" xfId="510"/>
    <cellStyle name="SAPBEXfilterDrill" xfId="511"/>
    <cellStyle name="SAPBEXfilterItem" xfId="512"/>
    <cellStyle name="SAPBEXfilterText" xfId="513"/>
    <cellStyle name="SAPBEXformats" xfId="514"/>
    <cellStyle name="SAPBEXheaderItem" xfId="515"/>
    <cellStyle name="SAPBEXheaderText" xfId="516"/>
    <cellStyle name="SAPBEXresData" xfId="517"/>
    <cellStyle name="SAPBEXresDataEmph" xfId="518"/>
    <cellStyle name="SAPBEXresItem" xfId="519"/>
    <cellStyle name="SAPBEXstdData" xfId="520"/>
    <cellStyle name="SAPBEXstdDataEmph" xfId="521"/>
    <cellStyle name="SAPBEXstdItem" xfId="522"/>
    <cellStyle name="SAPBEXtitle" xfId="523"/>
    <cellStyle name="SAPBEXundefined" xfId="524"/>
    <cellStyle name="STANDARD" xfId="525"/>
    <cellStyle name="Style 1" xfId="526"/>
    <cellStyle name="Style 10" xfId="527"/>
    <cellStyle name="Style 11" xfId="528"/>
    <cellStyle name="Style 12" xfId="529"/>
    <cellStyle name="Style 13" xfId="530"/>
    <cellStyle name="Style 14" xfId="531"/>
    <cellStyle name="Style 15" xfId="532"/>
    <cellStyle name="Style 16" xfId="533"/>
    <cellStyle name="Style 17" xfId="534"/>
    <cellStyle name="Style 2" xfId="535"/>
    <cellStyle name="Style 3" xfId="536"/>
    <cellStyle name="Style 4" xfId="537"/>
    <cellStyle name="Style 5" xfId="538"/>
    <cellStyle name="Style 6" xfId="539"/>
    <cellStyle name="Style 7" xfId="540"/>
    <cellStyle name="Style 8" xfId="541"/>
    <cellStyle name="Style 9" xfId="542"/>
    <cellStyle name="style_1" xfId="543"/>
    <cellStyle name="subhead" xfId="544"/>
    <cellStyle name="SubHeading" xfId="545"/>
    <cellStyle name="Subtotal" xfId="546"/>
    <cellStyle name="symbol" xfId="547"/>
    <cellStyle name="T" xfId="548"/>
    <cellStyle name="T_3_BCTC_Viet" xfId="549"/>
    <cellStyle name="T_Agri 06 - D section - Wholebank - v1 - nth+dth" xfId="550"/>
    <cellStyle name="T_Agri 06 - SAD for 2006 - V1" xfId="551"/>
    <cellStyle name="T_Agribank 2006 - Leadsheet Branch" xfId="552"/>
    <cellStyle name="T_Bang tinh lai NH, TH NMG den 30.9.06" xfId="553"/>
    <cellStyle name="T_Bao cao kttb milk yomilkYAO-mien bac" xfId="554"/>
    <cellStyle name="T_bc_km_ngay" xfId="555"/>
    <cellStyle name="T_Book1" xfId="556"/>
    <cellStyle name="T_Book1_1" xfId="557"/>
    <cellStyle name="T_Book1_1_Agri 06 - SAD for 2006 - V1" xfId="558"/>
    <cellStyle name="T_Book1_1_CN Ba ria Vung Tau - Danh sach cac khach hang chon mau" xfId="559"/>
    <cellStyle name="T_Book1_1_CPK" xfId="560"/>
    <cellStyle name="T_Book1_1_SAD 8Nov_T &amp; S setionv2" xfId="561"/>
    <cellStyle name="T_Book1_1_Thiet bi" xfId="562"/>
    <cellStyle name="T_Book1_1_Tong hop dieu chinh du phong va nhom no-Ver2-NBH" xfId="563"/>
    <cellStyle name="T_Book1_1_VBARD-06-BINH PHUOC-REF 01-CTY TNHH XAY DUNG DONG PHU-VQN" xfId="564"/>
    <cellStyle name="T_Book1_2" xfId="565"/>
    <cellStyle name="T_Book1_2_VBARD-07-P SECTION-Internal fund transfer-whole bank" xfId="566"/>
    <cellStyle name="T_Book1_2_VBARD-2006-Loan consolidation-v8" xfId="567"/>
    <cellStyle name="T_Book1_3" xfId="568"/>
    <cellStyle name="T_Book1_Agri 06 - D section - Wholebank - v1 - nth+dth" xfId="569"/>
    <cellStyle name="T_Book1_Agri 06 - SAD for 2006 - V1" xfId="570"/>
    <cellStyle name="T_Book1_Agribank 2006 - Leadsheet Branch" xfId="571"/>
    <cellStyle name="T_Book1_Book1" xfId="572"/>
    <cellStyle name="T_Book1_Book1_Tong hop dieu chinh du phong va nhom no-Ver2-NBH" xfId="573"/>
    <cellStyle name="T_Book1_Book1_VBARD-07-P SECTION-Internal fund transfer-whole bank" xfId="574"/>
    <cellStyle name="T_Book1_Book1_VBARD-2006-Loan consolidation-v8" xfId="575"/>
    <cellStyle name="T_Book1_Book3" xfId="576"/>
    <cellStyle name="T_Book1_BVVN_Audit151007_ WTB and FS preparation_ 15.10.2007_NTX_v33" xfId="577"/>
    <cellStyle name="T_Book1_CANDOI2007" xfId="578"/>
    <cellStyle name="T_Book1_control" xfId="579"/>
    <cellStyle name="T_Book1_CPK" xfId="580"/>
    <cellStyle name="T_Book1_In 07 - phu luc 3" xfId="581"/>
    <cellStyle name="T_Book1_key" xfId="582"/>
    <cellStyle name="T_Book1_Leadsheet-BVSC-151007.v11" xfId="583"/>
    <cellStyle name="T_Book1_Leasing I - Phu luc III bc cho kiem toan" xfId="584"/>
    <cellStyle name="T_Book1_LG xuyen" xfId="585"/>
    <cellStyle name="T_Book1_Note to FS_F section" xfId="586"/>
    <cellStyle name="T_Book1_rep" xfId="587"/>
    <cellStyle name="T_Book1_SAD 8Nov_Branch_v2" xfId="588"/>
    <cellStyle name="T_Book1_SAD 8Nov_T &amp; S setionv2" xfId="589"/>
    <cellStyle name="T_Book1_sao ke tien gui" xfId="590"/>
    <cellStyle name="T_Book1_Thiet bi" xfId="591"/>
    <cellStyle name="T_Book1_Thuyet minh thue" xfId="592"/>
    <cellStyle name="T_Book1_VBARD 07 - PL 1-3 Bieu mau cty con" xfId="593"/>
    <cellStyle name="T_Book1_VBARD 07 - PL 1-3 Bieu mau cty con-version 1" xfId="594"/>
    <cellStyle name="T_Book1_VBARD 07 - PL 1-3 Bieu mau cty CTTC1" xfId="595"/>
    <cellStyle name="T_Book1_VBARD 07-LEASING I-THEO DOI TAI LIEU" xfId="596"/>
    <cellStyle name="T_Book1_VBARD 07-PL 1-3 Bieu mau cty con" xfId="597"/>
    <cellStyle name="T_Book1_VBARD-06-Tan Binh-Loan speadsheet-NBH" xfId="598"/>
    <cellStyle name="T_Book1_VBARD-07-P SECTION-Internal fund transfer-whole bank" xfId="599"/>
    <cellStyle name="T_Book1_VBARD-2006-Loan consolidation-v8" xfId="600"/>
    <cellStyle name="T_Book1_WP F section 2006" xfId="601"/>
    <cellStyle name="T_Book1_WTB-LS_HO-v9- updated-10-12-07" xfId="602"/>
    <cellStyle name="T_Book3" xfId="603"/>
    <cellStyle name="T_BQL Ha Noi" xfId="604"/>
    <cellStyle name="T_BQL Ha Noi_BVVN_Audit151007_ WTB and FS preparation_ 15.10.2007_NTX_v33" xfId="605"/>
    <cellStyle name="T_BQL Ha Noi_Grv4A" xfId="606"/>
    <cellStyle name="T_Cac bao cao TB  Milk-Yomilk-co Ke- CK 1-Vinh Thang" xfId="607"/>
    <cellStyle name="T_Cac bao cao TB  Milk-Yomilk-co Ke- CK 1-Vinh Thang_BVVN_Audit151007_ WTB and FS preparation_ 15.10.2007_NTX_v33" xfId="608"/>
    <cellStyle name="T_Cac bao cao TB  Milk-Yomilk-co Ke- CK 1-Vinh Thang_WTB-LS_HO-v9- updated-10-12-07" xfId="609"/>
    <cellStyle name="T_CANDOI2007" xfId="610"/>
    <cellStyle name="T_cham diem Milk chu ky2-ANH MINH" xfId="611"/>
    <cellStyle name="T_cham trung bay ck 1 m.Bac milk co ke 2" xfId="612"/>
    <cellStyle name="T_cham trung bay yao smart milk ck 2 mien Bac" xfId="613"/>
    <cellStyle name="T_cham trung bay yao smart milk ck 2 mien Bac_BVVN_Audit151007_ WTB and FS preparation_ 15.10.2007_NTX_v33" xfId="614"/>
    <cellStyle name="T_cham trung bay yao smart milk ck 2 mien Bac_WTB-LS_HO-v9- updated-10-12-07" xfId="615"/>
    <cellStyle name="T_control" xfId="616"/>
    <cellStyle name="T_CPK" xfId="617"/>
    <cellStyle name="T_danh sach chua nop bcao trung bay sua chua  tinh den 1-3-06" xfId="618"/>
    <cellStyle name="T_danh sach chua nop bcao trung bay sua chua  tinh den 1-3-06_BVVN_Audit151007_ WTB and FS preparation_ 15.10.2007_NTX_v33" xfId="619"/>
    <cellStyle name="T_danh sach chua nop bcao trung bay sua chua  tinh den 1-3-06_WTB-LS_HO-v9- updated-10-12-07" xfId="620"/>
    <cellStyle name="T_Danh sach KH TB MilkYomilk Yao  Smart chu ky 2-Vinh Thang" xfId="621"/>
    <cellStyle name="T_Danh sach KH TB MilkYomilk Yao  Smart chu ky 2-Vinh Thang_BVVN_Audit151007_ WTB and FS preparation_ 15.10.2007_NTX_v33" xfId="622"/>
    <cellStyle name="T_Danh sach KH TB MilkYomilk Yao  Smart chu ky 2-Vinh Thang_WTB-LS_HO-v9- updated-10-12-07" xfId="623"/>
    <cellStyle name="T_Danh sach KH trung bay MilkYomilk co ke chu ky 2-Vinh Thang" xfId="624"/>
    <cellStyle name="T_Danh sach KH trung bay MilkYomilk co ke chu ky 2-Vinh Thang_BVVN_Audit151007_ WTB and FS preparation_ 15.10.2007_NTX_v33" xfId="625"/>
    <cellStyle name="T_Danh sach KH trung bay MilkYomilk co ke chu ky 2-Vinh Thang_WTB-LS_HO-v9- updated-10-12-07" xfId="626"/>
    <cellStyle name="T_DSACH MILK YO MILK CK 2 M.BAC" xfId="627"/>
    <cellStyle name="T_DSKH Tbay Milk , Yomilk CK 2 Vu Thi Hanh" xfId="628"/>
    <cellStyle name="T_DSKH Tbay Milk , Yomilk CK 2 Vu Thi Hanh_BVVN_Audit151007_ WTB and FS preparation_ 15.10.2007_NTX_v33" xfId="629"/>
    <cellStyle name="T_DSKH Tbay Milk , Yomilk CK 2 Vu Thi Hanh_WTB-LS_HO-v9- updated-10-12-07" xfId="630"/>
    <cellStyle name="T_form ton kho CK 2 tuan 8" xfId="631"/>
    <cellStyle name="T_HAN SU DUNG" xfId="632"/>
    <cellStyle name="T_In 07 - phu luc 3" xfId="633"/>
    <cellStyle name="T_KD - Stock WPs - NTHH" xfId="634"/>
    <cellStyle name="T_key" xfId="635"/>
    <cellStyle name="T_Kinder World" xfId="636"/>
    <cellStyle name="T_Leadsheet-BVSC-151007.v11" xfId="637"/>
    <cellStyle name="T_Leasing I - Phu luc III bc cho kiem toan" xfId="638"/>
    <cellStyle name="T_LG xuyen" xfId="639"/>
    <cellStyle name="T_Note to FS_F section" xfId="640"/>
    <cellStyle name="T_NPP Khanh Vinh Thai Nguyen - BC KTTB_CTrinh_TB__20_loc__Milk_Yomilk_CK1" xfId="641"/>
    <cellStyle name="T_NPP Khanh Vinh Thai Nguyen - BC KTTB_CTrinh_TB__20_loc__Milk_Yomilk_CK1_BVVN_Audit151007_ WTB and FS preparation_ 15.10.2007_NTX_v33" xfId="642"/>
    <cellStyle name="T_NPP Khanh Vinh Thai Nguyen - BC KTTB_CTrinh_TB__20_loc__Milk_Yomilk_CK1_WTB-LS_HO-v9- updated-10-12-07" xfId="643"/>
    <cellStyle name="T_rep" xfId="644"/>
    <cellStyle name="T_SAD 8Nov_Branch_v2" xfId="645"/>
    <cellStyle name="T_SAD 8Nov_T &amp; S setionv2" xfId="646"/>
    <cellStyle name="T_sao ke tien gui" xfId="647"/>
    <cellStyle name="T_Sheet1" xfId="648"/>
    <cellStyle name="T_sua chua cham trung bay  mien Bac" xfId="649"/>
    <cellStyle name="T_sua chua cham trung bay  mien Bac_BVVN_Audit151007_ WTB and FS preparation_ 15.10.2007_NTX_v33" xfId="650"/>
    <cellStyle name="T_sua chua cham trung bay  mien Bac_WTB-LS_HO-v9- updated-10-12-07" xfId="651"/>
    <cellStyle name="T_Thiet bi" xfId="652"/>
    <cellStyle name="T_TK 51136" xfId="653"/>
    <cellStyle name="T_TK_HT" xfId="654"/>
    <cellStyle name="T_tong kho 31.12.06" xfId="655"/>
    <cellStyle name="T_TONGKE" xfId="656"/>
    <cellStyle name="T_TSCD" xfId="657"/>
    <cellStyle name="T_VBARD 07 - PL 1-3 Bieu mau cty con" xfId="658"/>
    <cellStyle name="T_VBARD 07 - PL 1-3 Bieu mau cty con-version 1" xfId="659"/>
    <cellStyle name="T_VBARD 07 - PL 1-3 Bieu mau cty CTTC1" xfId="660"/>
    <cellStyle name="T_VBARD 07-LEASING I-THEO DOI TAI LIEU" xfId="661"/>
    <cellStyle name="T_VBARD 07-PL 1-3 Bieu mau cty con" xfId="662"/>
    <cellStyle name="T_VBARD-06-Tan Binh-Loan speadsheet-NBH" xfId="663"/>
    <cellStyle name="T_VBARD-07-P SECTION-Internal fund transfer-whole bank" xfId="664"/>
    <cellStyle name="T_VBARD-2006-Loan consolidation-v8" xfId="665"/>
    <cellStyle name="T_W.P - Huoi Quang" xfId="666"/>
    <cellStyle name="T_WP ban nam chien" xfId="667"/>
    <cellStyle name="T_WP ban nam chien_BVVN_Audit151007_ WTB and FS preparation_ 15.10.2007_NTX_v33" xfId="668"/>
    <cellStyle name="T_WP ban nam chien_Grv4A" xfId="669"/>
    <cellStyle name="T_WP F section 2006" xfId="670"/>
    <cellStyle name="tde" xfId="671"/>
    <cellStyle name="Text" xfId="672"/>
    <cellStyle name="Text Indent A" xfId="673"/>
    <cellStyle name="Text Indent B" xfId="674"/>
    <cellStyle name="Text Indent C" xfId="675"/>
    <cellStyle name="th" xfId="676"/>
    <cellStyle name="Thanh" xfId="677"/>
    <cellStyle name="þ_x001d_ð¤_x000c_¯" xfId="678"/>
    <cellStyle name="þ_x001d_ð¤_x000c_¯þ_x0014__x000d_¨þU_x0001_À_x0004_ _x0015__x000f__x0001_" xfId="679"/>
    <cellStyle name="þ_x001d_ð¤_x000c_¯þ_x0014__x000d_¨þU_x0001_À_x0004_ _x0015__x000f__x0001__x0001_" xfId="680"/>
    <cellStyle name="þ_x001d_ð·_x000c_æþ'_x000d_ßþU_x0001_Ø_x0005_ü_x0014__x0007__x0001__x0001_" xfId="681"/>
    <cellStyle name="þ_x001d_ðK_x000c_Fý_x001b__x000d_9ýU_x0001_Ð_x0008_¦)_x0007__x0001__x0001_" xfId="682"/>
    <cellStyle name="Tickmark" xfId="683"/>
    <cellStyle name="Times New Roman" xfId="684"/>
    <cellStyle name="Total 2" xfId="685"/>
    <cellStyle name="Total 3" xfId="686"/>
    <cellStyle name="Total 4" xfId="687"/>
    <cellStyle name="Total 5" xfId="688"/>
    <cellStyle name="ts" xfId="689"/>
    <cellStyle name="tt1" xfId="690"/>
    <cellStyle name="Tusental (0)_pldt" xfId="691"/>
    <cellStyle name="Tusental_pldt" xfId="692"/>
    <cellStyle name="UNIDAGSCode" xfId="693"/>
    <cellStyle name="UNIDAGSCode2" xfId="694"/>
    <cellStyle name="UNIDAGSCurrency" xfId="695"/>
    <cellStyle name="UNIDAGSDate" xfId="696"/>
    <cellStyle name="UNIDAGSPercent" xfId="697"/>
    <cellStyle name="UNIDAGSPercent2" xfId="698"/>
    <cellStyle name="ux_3_¼­¿ï-¾È»ê" xfId="699"/>
    <cellStyle name="Valuta (0)_pldt" xfId="700"/>
    <cellStyle name="Valuta_pldt" xfId="701"/>
    <cellStyle name="viet" xfId="702"/>
    <cellStyle name="viet2" xfId="703"/>
    <cellStyle name="VN new romanNormal" xfId="704"/>
    <cellStyle name="vn time 10" xfId="705"/>
    <cellStyle name="Vn Time 13" xfId="706"/>
    <cellStyle name="Vn Time 14" xfId="707"/>
    <cellStyle name="VN time new roman" xfId="708"/>
    <cellStyle name="vnbo" xfId="709"/>
    <cellStyle name="vnhead1" xfId="710"/>
    <cellStyle name="vnhead2" xfId="711"/>
    <cellStyle name="vnhead3" xfId="712"/>
    <cellStyle name="vnhead4" xfId="713"/>
    <cellStyle name="vntxt1" xfId="714"/>
    <cellStyle name="vntxt2" xfId="715"/>
    <cellStyle name="W_PL" xfId="716"/>
    <cellStyle name="Währung [0]_68574_Materialbedarfsliste" xfId="717"/>
    <cellStyle name="Währung_68574_Materialbedarfsliste" xfId="718"/>
    <cellStyle name="Walutowy [0]_Invoices2001Slovakia" xfId="719"/>
    <cellStyle name="Walutowy_Invoices2001Slovakia" xfId="720"/>
    <cellStyle name="wrap" xfId="721"/>
    <cellStyle name="Wไhrung [0]_35ERI8T2gbIEMixb4v26icuOo" xfId="722"/>
    <cellStyle name="Wไhrung_35ERI8T2gbIEMixb4v26icuOo" xfId="723"/>
    <cellStyle name="xuan" xfId="724"/>
    <cellStyle name="Ý kh¸c_B¶ng 1 (2)" xfId="725"/>
    <cellStyle name="Обычный_biadutoan" xfId="726"/>
    <cellStyle name="เครื่องหมายสกุลเงิน [0]_FTC_OFFER" xfId="727"/>
    <cellStyle name="เครื่องหมายสกุลเงิน_FTC_OFFER" xfId="728"/>
    <cellStyle name="ปกติ_FTC_OFFER" xfId="729"/>
    <cellStyle name="똿뗦먛귟 [0.00]_PRODUCT DETAIL Q1" xfId="730"/>
    <cellStyle name="똿뗦먛귟_PRODUCT DETAIL Q1" xfId="731"/>
    <cellStyle name="믅됞 [0.00]_PRODUCT DETAIL Q1" xfId="732"/>
    <cellStyle name="믅됞_PRODUCT DETAIL Q1" xfId="733"/>
    <cellStyle name="백분율_††††† " xfId="734"/>
    <cellStyle name="뷭?_BOOKSHIP" xfId="735"/>
    <cellStyle name="一般_00Q3902REV.1" xfId="736"/>
    <cellStyle name="千位分隔_233" xfId="737"/>
    <cellStyle name="千分位[0]_00Q3902REV.1" xfId="738"/>
    <cellStyle name="千分位_00Q3902REV.1" xfId="739"/>
    <cellStyle name="콤마 [ - 유형1" xfId="740"/>
    <cellStyle name="콤마 [ - 유형2" xfId="741"/>
    <cellStyle name="콤마 [ - 유형3" xfId="742"/>
    <cellStyle name="콤마 [ - 유형4" xfId="743"/>
    <cellStyle name="콤마 [ - 유형5" xfId="744"/>
    <cellStyle name="콤마 [ - 유형6" xfId="745"/>
    <cellStyle name="콤마 [ - 유형7" xfId="746"/>
    <cellStyle name="콤마 [ - 유형8" xfId="747"/>
    <cellStyle name="콤마 [0]_ 비목별 월별기술 " xfId="748"/>
    <cellStyle name="콤마_ 비목별 월별기술 " xfId="749"/>
    <cellStyle name="통화 [0]_††††† " xfId="750"/>
    <cellStyle name="통화_††††† " xfId="751"/>
    <cellStyle name="표준_(정보부문)월별인원계획" xfId="752"/>
    <cellStyle name="표줠_Sheet1_1_총괄표 (수출입) (2)" xfId="753"/>
    <cellStyle name="常规_233" xfId="754"/>
    <cellStyle name="昗弨_OL-A2$(2" xfId="755"/>
    <cellStyle name="桁区切り [0.00]_List-dwg瑩畳䵜楡" xfId="756"/>
    <cellStyle name="桁区切り_List-dwgist-" xfId="757"/>
    <cellStyle name="標準_0101全社計" xfId="758"/>
    <cellStyle name="貨幣 [0]_00Q3902REV.1" xfId="759"/>
    <cellStyle name="貨幣[0]_BRE" xfId="760"/>
    <cellStyle name="貨幣_00Q3902REV.1" xfId="761"/>
    <cellStyle name="通貨 [0.00]_List-dwgwg" xfId="762"/>
    <cellStyle name="通貨_List-dwgis" xfId="763"/>
    <cellStyle name=" [0.00]_ Att. 1- Cover" xfId="764"/>
    <cellStyle name="_ Att. 1- Cover" xfId="765"/>
    <cellStyle name="?_ Att. 1- Cover" xfId="766"/>
    <cellStyle name="Normal 3 4" xfId="767"/>
    <cellStyle name="Comma 3 5" xfId="76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Nguyen Tuan Anh</author>
    <author>Nguyễn Tuấn Anh</author>
    <author>DellPC</author>
  </authors>
  <commentList>
    <comment ref="J14" authorId="0" shapeId="0">
      <text>
        <t xml:space="preserve">Nguyen Tuan Anh:
số dư 13881 (30/09/2025)
</t>
      </text>
    </comment>
    <comment ref="K14" authorId="0" shapeId="0">
      <text>
        <t>Nguyen Tuan Anh:
Số dư 13881 (31/12/2024)</t>
      </text>
    </comment>
    <comment ref="L14" authorId="1" shapeId="0">
      <text>
        <t>Nguyễn Tuấn Anh:
chênh lệch tăng giảm 13881</t>
      </text>
    </comment>
    <comment ref="D53" authorId="0" shapeId="0">
      <text>
        <t>Nguyen Tuan Anh:
Trừ đi 13881( cộng vào tiền gửi)</t>
      </text>
    </comment>
    <comment ref="H91" authorId="2" shapeId="0">
      <text>
        <t xml:space="preserve">DellPC:
ks cdtkkt
</t>
      </text>
    </comment>
  </commentList>
</comments>
</file>

<file path=xl/comments/comment2.xml><?xml version="1.0" encoding="utf-8"?>
<comments xmlns="http://schemas.openxmlformats.org/spreadsheetml/2006/main">
  <authors>
    <author>TRANGTH</author>
    <author>Nguyễn Tuấn Anh</author>
    <author>Nguyen Tuan Anh</author>
  </authors>
  <commentList>
    <comment ref="D18" authorId="0" shapeId="0">
      <text>
        <t xml:space="preserve">TRANGTH:
số cố định lãi dự trả WU
</t>
      </text>
    </comment>
    <comment ref="E18" authorId="0" shapeId="0">
      <text>
        <t xml:space="preserve">TRANGTH:
số cố định lãi dự trả WU
</t>
      </text>
    </comment>
    <comment ref="P18" authorId="0" shapeId="0">
      <text>
        <t xml:space="preserve">TRANGTH:
số cố định lãi dự trả WU
</t>
      </text>
    </comment>
    <comment ref="Q18" authorId="0" shapeId="0">
      <text>
        <t xml:space="preserve">TRANGTH:
số cố định lãi dự trả WU
</t>
      </text>
    </comment>
    <comment ref="D45" authorId="0" shapeId="0">
      <text>
        <t xml:space="preserve">TRANGTH:
thue nop cho năm trước và năm nay
</t>
      </text>
    </comment>
    <comment ref="E45" authorId="0" shapeId="0">
      <text>
        <t xml:space="preserve">TRANGTH:
thue nop cho năm trước và năm nay
</t>
      </text>
    </comment>
    <comment ref="P45" authorId="0" shapeId="0">
      <text>
        <t xml:space="preserve">TRANGTH:
thue nop cho năm trước và năm nay
</t>
      </text>
    </comment>
    <comment ref="Q45" authorId="0" shapeId="0">
      <text>
        <t xml:space="preserve">TRANGTH:
thue nop cho năm trước và năm nay
</t>
      </text>
    </comment>
    <comment ref="D48" authorId="0" shapeId="0">
      <text>
        <t xml:space="preserve">TRANGTH:
chenh lệch tiền gửi có kì hạn trong kỳ
</t>
      </text>
    </comment>
    <comment ref="E48" authorId="0" shapeId="0">
      <text>
        <t xml:space="preserve">TRANGTH:
chenh lệch tiền gửi có kì hạn trong kỳ
</t>
      </text>
    </comment>
    <comment ref="P48" authorId="0" shapeId="0">
      <text>
        <t xml:space="preserve">TRANGTH:
chenh lệch tiền gửi có kì hạn trong kỳ
</t>
      </text>
    </comment>
    <comment ref="Q48" authorId="0" shapeId="0">
      <text>
        <t xml:space="preserve">TRANGTH:
chenh lệch tiền gửi có kì hạn trong kỳ
</t>
      </text>
    </comment>
    <comment ref="D49" authorId="1" shapeId="0">
      <text>
        <t>Nguyễn Tuấn Anh:
trước khi loại 13881 ra</t>
      </text>
    </comment>
    <comment ref="E49" authorId="1" shapeId="0">
      <text>
        <t>Nguyễn Tuấn Anh:
trước khi loại 13881 ra</t>
      </text>
    </comment>
    <comment ref="P49" authorId="1" shapeId="0">
      <text>
        <t>Nguyễn Tuấn Anh:
trước khi loại 13881 ra</t>
      </text>
    </comment>
    <comment ref="O77" authorId="2" shapeId="0">
      <text>
        <t>Nguyen Tuan Anh:
số đầu kì</t>
      </text>
    </comment>
  </commentList>
</comments>
</file>

<file path=xl/comments/comment3.xml><?xml version="1.0" encoding="utf-8"?>
<comments xmlns="http://schemas.openxmlformats.org/spreadsheetml/2006/main">
  <authors>
    <author>Nguyễn Tuấn Anh</author>
    <author>VU HOANG LINH</author>
    <author>DellPC</author>
  </authors>
  <commentList>
    <comment ref="B92" authorId="0" shapeId="0">
      <text>
        <t>Nguyễn Tuấn Anh:
Khoản tiền của công ty để trên TK WU</t>
      </text>
    </comment>
    <comment ref="A103" authorId="1" shapeId="0">
      <text>
        <t>VU HOANG LINH:
Lợi nhuận chuyển về NHCTVN</t>
      </text>
    </comment>
    <comment ref="B103" authorId="2" shapeId="0">
      <text>
        <t>DellPC:
LN sau thue chuyen ve NHCT sau dieu chinh</t>
      </text>
    </comment>
    <comment ref="C116" authorId="2" shapeId="0">
      <text>
        <t>trangth: 5%</t>
      </text>
    </comment>
    <comment ref="C117" authorId="2" shapeId="0">
      <text>
        <t xml:space="preserve">10%
</t>
      </text>
    </comment>
    <comment ref="C209" authorId="0" shapeId="0">
      <text>
        <t xml:space="preserve">Nguyễn Tuấn Anh:
Không phải nhặt </t>
      </text>
    </comment>
  </commentList>
</comments>
</file>

<file path=xl/comments/comment4.xml><?xml version="1.0" encoding="utf-8"?>
<comments xmlns="http://schemas.openxmlformats.org/spreadsheetml/2006/main">
  <authors>
    <author>Nguyễn Tuấn Anh</author>
  </authors>
  <commentList>
    <comment ref="C12" authorId="0" shapeId="0">
      <text>
        <t>Nguyễn Tuấn Anh:
không phân biệt ngoại tệ và VND</t>
      </text>
    </comment>
  </commentList>
</comments>
</file>

<file path=xl/comments/comment5.xml><?xml version="1.0" encoding="utf-8"?>
<comments xmlns="http://schemas.openxmlformats.org/spreadsheetml/2006/main">
  <authors>
    <author>Nguyen Tuan Anh</author>
  </authors>
  <commentList>
    <comment ref="D18" authorId="0" shapeId="0">
      <text>
        <t>Nguyen Tuan Anh:
Bao gồm thù lao chủ tịch và kiểm soát viên năm 2022</t>
      </text>
    </comment>
    <comment ref="D19" authorId="0" shapeId="0">
      <text>
        <t>Nguyen Tuan Anh:
Số dư cuối tài khoản 33511.09</t>
      </text>
    </comment>
  </commentList>
</comments>
</file>

<file path=xl/externalLinks/_rels/externalLink1.xml.rels><Relationships xmlns="http://schemas.openxmlformats.org/package/2006/relationships"><Relationship Type="http://schemas.openxmlformats.org/officeDocument/2006/relationships/externalLinkPath" Target="/copy%20o%20cung/TRANGTH/Bao%20cao%20quy/bao%20c&#225;o%20qu&#253;/2018/BCTC%20QUY%20III%202018final_trang%20sua.xlsx" TargetMode="External" Id="rId1" /></Relationships>
</file>

<file path=xl/externalLinks/_rels/externalLink2.xml.rels><Relationships xmlns="http://schemas.openxmlformats.org/package/2006/relationships"><Relationship Type="http://schemas.openxmlformats.org/officeDocument/2006/relationships/externalLinkPath" Target="/copy%20o%20cung/TRANGTH/Bao%20cao%20quy/bao%20c&#225;o%20qu&#253;/2017/BCTC%20QUY%20IV%202017..xlsx" TargetMode="External" Id="rId1" /></Relationships>
</file>

<file path=xl/externalLinks/_rels/externalLink3.xml.rels><Relationships xmlns="http://schemas.openxmlformats.org/package/2006/relationships"><Relationship Type="http://schemas.openxmlformats.org/officeDocument/2006/relationships/externalLinkPath" Target="file:///E:\b&#225;o%20c&#225;o\Bao%20cao%20quy\2025\Quy%204\THB5Q042025_096.XLS" TargetMode="External" Id="rId1" /></Relationships>
</file>

<file path=xl/externalLinks/_rels/externalLink4.xml.rels><Relationships xmlns="http://schemas.openxmlformats.org/package/2006/relationships"><Relationship Type="http://schemas.openxmlformats.org/officeDocument/2006/relationships/externalLinkPath" Target="file:///E:\b&#225;o%20c&#225;o\Bao%20cao%20quy\2026\THB5Q012026_096.XLS" TargetMode="External" Id="rId1" /></Relationships>
</file>

<file path=xl/externalLinks/_rels/externalLink5.xml.rels><Relationships xmlns="http://schemas.openxmlformats.org/package/2006/relationships"><Relationship Type="http://schemas.openxmlformats.org/officeDocument/2006/relationships/externalLinkPath" Target="/Users/anhnt39/Desktop/b&#225;o%20c&#225;o%20qu&#253;%204%202020/TNDN%20Q1%202026.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o lieu"/>
      <sheetName val="BCDKT_B02"/>
      <sheetName val="BCKQKD_B03"/>
      <sheetName val="BCLCTT_B04"/>
      <sheetName val="TMBCTC_B05"/>
      <sheetName val="BT dieu chinh"/>
      <sheetName val="LN"/>
    </sheetNames>
    <sheetDataSet>
      <sheetData sheetId="0"/>
      <sheetData sheetId="1"/>
      <sheetData sheetId="2">
        <row r="31">
          <cell r="F31">
            <v>3067944391</v>
          </cell>
        </row>
      </sheetData>
      <sheetData sheetId="3"/>
      <sheetData sheetId="4"/>
      <sheetData sheetId="5"/>
      <sheetData sheetId="6"/>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so lieu"/>
      <sheetName val="BCDKT_B02"/>
      <sheetName val="BCKQKD_B03"/>
      <sheetName val="BCLCTT_B04"/>
      <sheetName val="BT dieu chinh"/>
      <sheetName val="LN"/>
      <sheetName val="Nam"/>
      <sheetName val="TM B05"/>
    </sheetNames>
    <sheetDataSet>
      <sheetData sheetId="0"/>
      <sheetData sheetId="1"/>
      <sheetData sheetId="2"/>
      <sheetData sheetId="3"/>
      <sheetData sheetId="4"/>
      <sheetData sheetId="5"/>
      <sheetData sheetId="6">
        <row r="50">
          <cell r="B50">
            <v>0</v>
          </cell>
        </row>
      </sheetData>
      <sheetData sheetId="7">
        <row r="139">
          <cell r="B139">
            <v>0</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Sheet1"/>
    </sheetNames>
    <sheetDataSet>
      <sheetData sheetId="0">
        <row r="1">
          <cell r="A1" t="str">
            <v>101101</v>
          </cell>
          <cell r="B1" t="str">
            <v> </v>
          </cell>
          <cell r="C1">
            <v>252631088</v>
          </cell>
          <cell r="D1">
            <v>0</v>
          </cell>
          <cell r="E1">
            <v>805728009</v>
          </cell>
          <cell r="F1">
            <v>747872196</v>
          </cell>
          <cell r="G1">
            <v>310486901</v>
          </cell>
          <cell r="H1">
            <v>0</v>
          </cell>
          <cell r="I1" t="str">
            <v>096</v>
          </cell>
          <cell r="J1">
            <v>46022</v>
          </cell>
        </row>
        <row r="2">
          <cell r="A2" t="str">
            <v>131101</v>
          </cell>
          <cell r="B2" t="str">
            <v> </v>
          </cell>
          <cell r="C2">
            <v>51681666335</v>
          </cell>
          <cell r="D2">
            <v>0</v>
          </cell>
          <cell r="E2">
            <v>10517916594112</v>
          </cell>
          <cell r="F2">
            <v>10269859846319</v>
          </cell>
          <cell r="G2">
            <v>299738414128</v>
          </cell>
          <cell r="H2">
            <v>0</v>
          </cell>
          <cell r="I2" t="str">
            <v>096</v>
          </cell>
          <cell r="J2">
            <v>46022</v>
          </cell>
        </row>
        <row r="3">
          <cell r="A3" t="str">
            <v>131201</v>
          </cell>
          <cell r="B3" t="str">
            <v> </v>
          </cell>
          <cell r="C3">
            <v>54000000000</v>
          </cell>
          <cell r="D3">
            <v>0</v>
          </cell>
          <cell r="E3">
            <v>9000000000</v>
          </cell>
          <cell r="F3">
            <v>5000000000</v>
          </cell>
          <cell r="G3">
            <v>58000000000</v>
          </cell>
          <cell r="H3">
            <v>0</v>
          </cell>
          <cell r="I3" t="str">
            <v>096</v>
          </cell>
          <cell r="J3">
            <v>46022</v>
          </cell>
        </row>
        <row r="4">
          <cell r="A4" t="str">
            <v>132101</v>
          </cell>
          <cell r="B4" t="str">
            <v> </v>
          </cell>
          <cell r="C4">
            <v>19692354072</v>
          </cell>
          <cell r="D4">
            <v>0</v>
          </cell>
          <cell r="E4">
            <v>8071614558547</v>
          </cell>
          <cell r="F4">
            <v>8051340007140</v>
          </cell>
          <cell r="G4">
            <v>39966905479</v>
          </cell>
          <cell r="H4">
            <v>0</v>
          </cell>
          <cell r="I4" t="str">
            <v>096</v>
          </cell>
          <cell r="J4">
            <v>46022</v>
          </cell>
        </row>
        <row r="5">
          <cell r="A5" t="str">
            <v>301301</v>
          </cell>
          <cell r="B5" t="str">
            <v> </v>
          </cell>
          <cell r="C5">
            <v>118875001</v>
          </cell>
          <cell r="D5">
            <v>0</v>
          </cell>
          <cell r="E5">
            <v>0</v>
          </cell>
          <cell r="F5">
            <v>0</v>
          </cell>
          <cell r="G5">
            <v>118875001</v>
          </cell>
          <cell r="H5">
            <v>0</v>
          </cell>
          <cell r="I5" t="str">
            <v>096</v>
          </cell>
          <cell r="J5">
            <v>46022</v>
          </cell>
        </row>
        <row r="6">
          <cell r="A6" t="str">
            <v>301401</v>
          </cell>
          <cell r="B6" t="str">
            <v> </v>
          </cell>
          <cell r="C6">
            <v>2356156363</v>
          </cell>
          <cell r="D6">
            <v>0</v>
          </cell>
          <cell r="E6">
            <v>0</v>
          </cell>
          <cell r="F6">
            <v>0</v>
          </cell>
          <cell r="G6">
            <v>2356156363</v>
          </cell>
          <cell r="H6">
            <v>0</v>
          </cell>
          <cell r="I6" t="str">
            <v>096</v>
          </cell>
          <cell r="J6">
            <v>46022</v>
          </cell>
        </row>
        <row r="7">
          <cell r="A7" t="str">
            <v>301501</v>
          </cell>
          <cell r="B7" t="str">
            <v> </v>
          </cell>
          <cell r="C7">
            <v>232918182</v>
          </cell>
          <cell r="D7">
            <v>0</v>
          </cell>
          <cell r="E7">
            <v>0</v>
          </cell>
          <cell r="F7">
            <v>0</v>
          </cell>
          <cell r="G7">
            <v>232918182</v>
          </cell>
          <cell r="H7">
            <v>0</v>
          </cell>
          <cell r="I7" t="str">
            <v>096</v>
          </cell>
          <cell r="J7">
            <v>46022</v>
          </cell>
        </row>
        <row r="8">
          <cell r="A8" t="str">
            <v>301902</v>
          </cell>
          <cell r="B8" t="str">
            <v> </v>
          </cell>
          <cell r="C8">
            <v>70120000</v>
          </cell>
          <cell r="D8">
            <v>0</v>
          </cell>
          <cell r="E8">
            <v>0</v>
          </cell>
          <cell r="F8">
            <v>0</v>
          </cell>
          <cell r="G8">
            <v>70120000</v>
          </cell>
          <cell r="H8">
            <v>0</v>
          </cell>
          <cell r="I8" t="str">
            <v>096</v>
          </cell>
          <cell r="J8">
            <v>46022</v>
          </cell>
        </row>
        <row r="9">
          <cell r="A9" t="str">
            <v>305101</v>
          </cell>
          <cell r="B9" t="str">
            <v> </v>
          </cell>
          <cell r="C9">
            <v>0</v>
          </cell>
          <cell r="D9">
            <v>2448563712</v>
          </cell>
          <cell r="E9">
            <v>0</v>
          </cell>
          <cell r="F9">
            <v>5725755</v>
          </cell>
          <cell r="G9">
            <v>0</v>
          </cell>
          <cell r="H9">
            <v>2454289467</v>
          </cell>
          <cell r="I9" t="str">
            <v>096</v>
          </cell>
          <cell r="J9">
            <v>46022</v>
          </cell>
        </row>
        <row r="10">
          <cell r="A10" t="str">
            <v>305102</v>
          </cell>
          <cell r="B10" t="str">
            <v> </v>
          </cell>
          <cell r="C10">
            <v>0</v>
          </cell>
          <cell r="D10">
            <v>283084091</v>
          </cell>
          <cell r="E10">
            <v>0</v>
          </cell>
          <cell r="F10">
            <v>0</v>
          </cell>
          <cell r="G10">
            <v>0</v>
          </cell>
          <cell r="H10">
            <v>283084091</v>
          </cell>
          <cell r="I10" t="str">
            <v>096</v>
          </cell>
          <cell r="J10">
            <v>46022</v>
          </cell>
        </row>
        <row r="11">
          <cell r="A11" t="str">
            <v>351001</v>
          </cell>
          <cell r="B11" t="str">
            <v> </v>
          </cell>
          <cell r="C11">
            <v>15000000</v>
          </cell>
          <cell r="D11">
            <v>0</v>
          </cell>
          <cell r="E11">
            <v>0</v>
          </cell>
          <cell r="F11">
            <v>0</v>
          </cell>
          <cell r="G11">
            <v>15000000</v>
          </cell>
          <cell r="H11">
            <v>0</v>
          </cell>
          <cell r="I11" t="str">
            <v>096</v>
          </cell>
          <cell r="J11">
            <v>46022</v>
          </cell>
        </row>
        <row r="12">
          <cell r="A12" t="str">
            <v>353202</v>
          </cell>
          <cell r="B12" t="str">
            <v> </v>
          </cell>
          <cell r="C12">
            <v>0</v>
          </cell>
          <cell r="D12">
            <v>0</v>
          </cell>
          <cell r="E12">
            <v>571828438</v>
          </cell>
          <cell r="F12">
            <v>571828438</v>
          </cell>
          <cell r="G12">
            <v>0</v>
          </cell>
          <cell r="H12">
            <v>0</v>
          </cell>
          <cell r="I12" t="str">
            <v>096</v>
          </cell>
          <cell r="J12">
            <v>46022</v>
          </cell>
        </row>
        <row r="13">
          <cell r="A13" t="str">
            <v>359299</v>
          </cell>
          <cell r="B13" t="str">
            <v> </v>
          </cell>
          <cell r="C13">
            <v>25654162030</v>
          </cell>
          <cell r="D13">
            <v>0</v>
          </cell>
          <cell r="E13">
            <v>1647248866832</v>
          </cell>
          <cell r="F13">
            <v>1635219373147</v>
          </cell>
          <cell r="G13">
            <v>37683655715</v>
          </cell>
          <cell r="H13">
            <v>0</v>
          </cell>
          <cell r="I13" t="str">
            <v>096</v>
          </cell>
          <cell r="J13">
            <v>46022</v>
          </cell>
        </row>
        <row r="14">
          <cell r="A14" t="str">
            <v>361299</v>
          </cell>
          <cell r="B14" t="str">
            <v> </v>
          </cell>
          <cell r="C14">
            <v>10000000</v>
          </cell>
          <cell r="D14">
            <v>0</v>
          </cell>
          <cell r="E14">
            <v>1659896000</v>
          </cell>
          <cell r="F14">
            <v>1669896000</v>
          </cell>
          <cell r="G14">
            <v>0</v>
          </cell>
          <cell r="H14">
            <v>0</v>
          </cell>
          <cell r="I14" t="str">
            <v>096</v>
          </cell>
          <cell r="J14">
            <v>46022</v>
          </cell>
        </row>
        <row r="15">
          <cell r="A15" t="str">
            <v>388009</v>
          </cell>
          <cell r="B15" t="str">
            <v> </v>
          </cell>
          <cell r="C15">
            <v>58644000</v>
          </cell>
          <cell r="D15">
            <v>0</v>
          </cell>
          <cell r="E15">
            <v>351864000</v>
          </cell>
          <cell r="F15">
            <v>175932000</v>
          </cell>
          <cell r="G15">
            <v>234576000</v>
          </cell>
          <cell r="H15">
            <v>0</v>
          </cell>
          <cell r="I15" t="str">
            <v>096</v>
          </cell>
          <cell r="J15">
            <v>46022</v>
          </cell>
        </row>
        <row r="16">
          <cell r="A16" t="str">
            <v>397001</v>
          </cell>
          <cell r="B16" t="str">
            <v> </v>
          </cell>
          <cell r="C16">
            <v>4016321822</v>
          </cell>
          <cell r="D16">
            <v>0</v>
          </cell>
          <cell r="E16">
            <v>9440797510</v>
          </cell>
          <cell r="F16">
            <v>9093832127</v>
          </cell>
          <cell r="G16">
            <v>4363287205</v>
          </cell>
          <cell r="H16">
            <v>0</v>
          </cell>
          <cell r="I16" t="str">
            <v>096</v>
          </cell>
          <cell r="J16">
            <v>46022</v>
          </cell>
        </row>
        <row r="17">
          <cell r="A17" t="str">
            <v>427909</v>
          </cell>
          <cell r="B17" t="str">
            <v> </v>
          </cell>
          <cell r="C17">
            <v>0</v>
          </cell>
          <cell r="D17">
            <v>0</v>
          </cell>
          <cell r="E17">
            <v>21218580</v>
          </cell>
          <cell r="F17">
            <v>21218580</v>
          </cell>
          <cell r="G17">
            <v>0</v>
          </cell>
          <cell r="H17">
            <v>0</v>
          </cell>
          <cell r="I17" t="str">
            <v>096</v>
          </cell>
          <cell r="J17">
            <v>46022</v>
          </cell>
        </row>
        <row r="18">
          <cell r="A18" t="str">
            <v>453101</v>
          </cell>
          <cell r="B18" t="str">
            <v> </v>
          </cell>
          <cell r="C18">
            <v>0</v>
          </cell>
          <cell r="D18">
            <v>324061383</v>
          </cell>
          <cell r="E18">
            <v>1555349991</v>
          </cell>
          <cell r="F18">
            <v>1559028778</v>
          </cell>
          <cell r="G18">
            <v>0</v>
          </cell>
          <cell r="H18">
            <v>327740170</v>
          </cell>
          <cell r="I18" t="str">
            <v>096</v>
          </cell>
          <cell r="J18">
            <v>46022</v>
          </cell>
        </row>
        <row r="19">
          <cell r="A19" t="str">
            <v>453401</v>
          </cell>
          <cell r="B19" t="str">
            <v> </v>
          </cell>
          <cell r="C19">
            <v>0</v>
          </cell>
          <cell r="D19">
            <v>2235855924</v>
          </cell>
          <cell r="E19">
            <v>1900000000</v>
          </cell>
          <cell r="F19">
            <v>1363520019</v>
          </cell>
          <cell r="G19">
            <v>0</v>
          </cell>
          <cell r="H19">
            <v>1699375943</v>
          </cell>
          <cell r="I19" t="str">
            <v>096</v>
          </cell>
          <cell r="J19">
            <v>46022</v>
          </cell>
        </row>
        <row r="20">
          <cell r="A20" t="str">
            <v>453801</v>
          </cell>
          <cell r="B20" t="str">
            <v> </v>
          </cell>
          <cell r="C20">
            <v>0</v>
          </cell>
          <cell r="D20">
            <v>0</v>
          </cell>
          <cell r="E20">
            <v>2135982</v>
          </cell>
          <cell r="F20">
            <v>2135982</v>
          </cell>
          <cell r="G20">
            <v>0</v>
          </cell>
          <cell r="H20">
            <v>0</v>
          </cell>
          <cell r="I20" t="str">
            <v>096</v>
          </cell>
          <cell r="J20">
            <v>46022</v>
          </cell>
        </row>
        <row r="21">
          <cell r="A21" t="str">
            <v>453802</v>
          </cell>
          <cell r="B21" t="str">
            <v> </v>
          </cell>
          <cell r="C21">
            <v>0</v>
          </cell>
          <cell r="D21">
            <v>15949894</v>
          </cell>
          <cell r="E21">
            <v>49124160</v>
          </cell>
          <cell r="F21">
            <v>110265710</v>
          </cell>
          <cell r="G21">
            <v>0</v>
          </cell>
          <cell r="H21">
            <v>77091444</v>
          </cell>
          <cell r="I21" t="str">
            <v>096</v>
          </cell>
          <cell r="J21">
            <v>46022</v>
          </cell>
        </row>
        <row r="22">
          <cell r="A22" t="str">
            <v>454001</v>
          </cell>
          <cell r="B22" t="str">
            <v> </v>
          </cell>
          <cell r="C22">
            <v>0</v>
          </cell>
          <cell r="D22">
            <v>37571324376</v>
          </cell>
          <cell r="E22">
            <v>7214390893750</v>
          </cell>
          <cell r="F22">
            <v>7475509444967</v>
          </cell>
          <cell r="G22">
            <v>0</v>
          </cell>
          <cell r="H22">
            <v>298689875593</v>
          </cell>
          <cell r="I22" t="str">
            <v>096</v>
          </cell>
          <cell r="J22">
            <v>46022</v>
          </cell>
        </row>
        <row r="23">
          <cell r="A23" t="str">
            <v>459908</v>
          </cell>
          <cell r="B23" t="str">
            <v> </v>
          </cell>
          <cell r="C23">
            <v>0</v>
          </cell>
          <cell r="D23">
            <v>2928227344</v>
          </cell>
          <cell r="E23">
            <v>3071642907</v>
          </cell>
          <cell r="F23">
            <v>1696101140</v>
          </cell>
          <cell r="G23">
            <v>0</v>
          </cell>
          <cell r="H23">
            <v>1552685577</v>
          </cell>
          <cell r="I23" t="str">
            <v>096</v>
          </cell>
          <cell r="J23">
            <v>46022</v>
          </cell>
        </row>
        <row r="24">
          <cell r="A24" t="str">
            <v>459999</v>
          </cell>
          <cell r="B24" t="str">
            <v> </v>
          </cell>
          <cell r="C24">
            <v>0</v>
          </cell>
          <cell r="D24">
            <v>34083147836</v>
          </cell>
          <cell r="E24">
            <v>11078646831326</v>
          </cell>
          <cell r="F24">
            <v>11099502397144</v>
          </cell>
          <cell r="G24">
            <v>0</v>
          </cell>
          <cell r="H24">
            <v>54938713654</v>
          </cell>
          <cell r="I24" t="str">
            <v>096</v>
          </cell>
          <cell r="J24">
            <v>46022</v>
          </cell>
        </row>
        <row r="25">
          <cell r="A25" t="str">
            <v>462001</v>
          </cell>
          <cell r="B25" t="str">
            <v> </v>
          </cell>
          <cell r="C25">
            <v>0</v>
          </cell>
          <cell r="D25">
            <v>3487021498</v>
          </cell>
          <cell r="E25">
            <v>3199017936</v>
          </cell>
          <cell r="F25">
            <v>5144451320</v>
          </cell>
          <cell r="G25">
            <v>0</v>
          </cell>
          <cell r="H25">
            <v>5432454882</v>
          </cell>
          <cell r="I25" t="str">
            <v>096</v>
          </cell>
          <cell r="J25">
            <v>46022</v>
          </cell>
        </row>
        <row r="26">
          <cell r="A26" t="str">
            <v>484101</v>
          </cell>
          <cell r="B26" t="str">
            <v> </v>
          </cell>
          <cell r="C26">
            <v>0</v>
          </cell>
          <cell r="D26">
            <v>1062483532</v>
          </cell>
          <cell r="E26">
            <v>673000000</v>
          </cell>
          <cell r="F26">
            <v>59437929</v>
          </cell>
          <cell r="G26">
            <v>0</v>
          </cell>
          <cell r="H26">
            <v>448921461</v>
          </cell>
          <cell r="I26" t="str">
            <v>096</v>
          </cell>
          <cell r="J26">
            <v>46022</v>
          </cell>
        </row>
        <row r="27">
          <cell r="A27" t="str">
            <v>484201</v>
          </cell>
          <cell r="B27" t="str">
            <v> </v>
          </cell>
          <cell r="C27">
            <v>0</v>
          </cell>
          <cell r="D27">
            <v>498964568</v>
          </cell>
          <cell r="E27">
            <v>409750000</v>
          </cell>
          <cell r="F27">
            <v>0</v>
          </cell>
          <cell r="G27">
            <v>0</v>
          </cell>
          <cell r="H27">
            <v>89214568</v>
          </cell>
          <cell r="I27" t="str">
            <v>096</v>
          </cell>
          <cell r="J27">
            <v>46022</v>
          </cell>
        </row>
        <row r="28">
          <cell r="A28" t="str">
            <v>497001</v>
          </cell>
          <cell r="B28" t="str">
            <v> </v>
          </cell>
          <cell r="C28">
            <v>0</v>
          </cell>
          <cell r="D28">
            <v>0</v>
          </cell>
          <cell r="E28">
            <v>10536819463</v>
          </cell>
          <cell r="F28">
            <v>10536819463</v>
          </cell>
          <cell r="G28">
            <v>0</v>
          </cell>
          <cell r="H28">
            <v>0</v>
          </cell>
          <cell r="I28" t="str">
            <v>096</v>
          </cell>
          <cell r="J28">
            <v>46022</v>
          </cell>
        </row>
        <row r="29">
          <cell r="A29" t="str">
            <v>601001</v>
          </cell>
          <cell r="B29" t="str">
            <v> </v>
          </cell>
          <cell r="C29">
            <v>0</v>
          </cell>
          <cell r="D29">
            <v>50000000000</v>
          </cell>
          <cell r="E29">
            <v>0</v>
          </cell>
          <cell r="F29">
            <v>0</v>
          </cell>
          <cell r="G29">
            <v>0</v>
          </cell>
          <cell r="H29">
            <v>50000000000</v>
          </cell>
          <cell r="I29" t="str">
            <v>096</v>
          </cell>
          <cell r="J29">
            <v>46022</v>
          </cell>
        </row>
        <row r="30">
          <cell r="A30" t="str">
            <v>611001</v>
          </cell>
          <cell r="B30" t="str">
            <v> </v>
          </cell>
          <cell r="C30">
            <v>0</v>
          </cell>
          <cell r="D30">
            <v>3793255874</v>
          </cell>
          <cell r="E30">
            <v>0</v>
          </cell>
          <cell r="F30">
            <v>0</v>
          </cell>
          <cell r="G30">
            <v>0</v>
          </cell>
          <cell r="H30">
            <v>3793255874</v>
          </cell>
          <cell r="I30" t="str">
            <v>096</v>
          </cell>
          <cell r="J30">
            <v>46022</v>
          </cell>
        </row>
        <row r="31">
          <cell r="A31" t="str">
            <v>612101</v>
          </cell>
          <cell r="B31" t="str">
            <v> </v>
          </cell>
          <cell r="C31">
            <v>0</v>
          </cell>
          <cell r="D31">
            <v>5336258205</v>
          </cell>
          <cell r="E31">
            <v>0</v>
          </cell>
          <cell r="F31">
            <v>0</v>
          </cell>
          <cell r="G31">
            <v>0</v>
          </cell>
          <cell r="H31">
            <v>5336258205</v>
          </cell>
          <cell r="I31" t="str">
            <v>096</v>
          </cell>
          <cell r="J31">
            <v>46022</v>
          </cell>
        </row>
        <row r="32">
          <cell r="A32" t="str">
            <v>631101</v>
          </cell>
          <cell r="B32" t="str">
            <v> </v>
          </cell>
          <cell r="C32">
            <v>0</v>
          </cell>
          <cell r="D32">
            <v>0</v>
          </cell>
          <cell r="E32">
            <v>222925807</v>
          </cell>
          <cell r="F32">
            <v>222925807</v>
          </cell>
          <cell r="G32">
            <v>0</v>
          </cell>
          <cell r="H32">
            <v>0</v>
          </cell>
          <cell r="I32" t="str">
            <v>096</v>
          </cell>
          <cell r="J32">
            <v>46022</v>
          </cell>
        </row>
        <row r="33">
          <cell r="A33" t="str">
            <v>701001</v>
          </cell>
          <cell r="B33" t="str">
            <v> </v>
          </cell>
          <cell r="C33">
            <v>0</v>
          </cell>
          <cell r="D33">
            <v>2487888463</v>
          </cell>
          <cell r="E33">
            <v>0</v>
          </cell>
          <cell r="F33">
            <v>703026310</v>
          </cell>
          <cell r="G33">
            <v>0</v>
          </cell>
          <cell r="H33">
            <v>3190914773</v>
          </cell>
          <cell r="I33" t="str">
            <v>096</v>
          </cell>
          <cell r="J33">
            <v>46022</v>
          </cell>
        </row>
        <row r="34">
          <cell r="A34" t="str">
            <v>711001</v>
          </cell>
          <cell r="B34" t="str">
            <v> </v>
          </cell>
          <cell r="C34">
            <v>0</v>
          </cell>
          <cell r="D34">
            <v>37341077696</v>
          </cell>
          <cell r="E34">
            <v>0</v>
          </cell>
          <cell r="F34">
            <v>14752832990</v>
          </cell>
          <cell r="G34">
            <v>0</v>
          </cell>
          <cell r="H34">
            <v>52093910686</v>
          </cell>
          <cell r="I34" t="str">
            <v>096</v>
          </cell>
          <cell r="J34">
            <v>46022</v>
          </cell>
        </row>
        <row r="35">
          <cell r="A35" t="str">
            <v>721001</v>
          </cell>
          <cell r="B35" t="str">
            <v> </v>
          </cell>
          <cell r="C35">
            <v>0</v>
          </cell>
          <cell r="D35">
            <v>1442197173</v>
          </cell>
          <cell r="E35">
            <v>0</v>
          </cell>
          <cell r="F35">
            <v>1131367792</v>
          </cell>
          <cell r="G35">
            <v>0</v>
          </cell>
          <cell r="H35">
            <v>2573564965</v>
          </cell>
          <cell r="I35" t="str">
            <v>096</v>
          </cell>
          <cell r="J35">
            <v>46022</v>
          </cell>
        </row>
        <row r="36">
          <cell r="A36" t="str">
            <v>811001</v>
          </cell>
          <cell r="B36" t="str">
            <v> </v>
          </cell>
          <cell r="C36">
            <v>7036541096</v>
          </cell>
          <cell r="D36">
            <v>0</v>
          </cell>
          <cell r="E36">
            <v>3577280615</v>
          </cell>
          <cell r="F36">
            <v>0</v>
          </cell>
          <cell r="G36">
            <v>10613821711</v>
          </cell>
          <cell r="H36">
            <v>0</v>
          </cell>
          <cell r="I36" t="str">
            <v>096</v>
          </cell>
          <cell r="J36">
            <v>46022</v>
          </cell>
        </row>
        <row r="37">
          <cell r="A37" t="str">
            <v>821001</v>
          </cell>
          <cell r="B37" t="str">
            <v> </v>
          </cell>
          <cell r="C37">
            <v>94455</v>
          </cell>
          <cell r="D37">
            <v>0</v>
          </cell>
          <cell r="E37">
            <v>17780</v>
          </cell>
          <cell r="F37">
            <v>0</v>
          </cell>
          <cell r="G37">
            <v>112235</v>
          </cell>
          <cell r="H37">
            <v>0</v>
          </cell>
          <cell r="I37" t="str">
            <v>096</v>
          </cell>
          <cell r="J37">
            <v>46022</v>
          </cell>
        </row>
        <row r="38">
          <cell r="A38" t="str">
            <v>831002</v>
          </cell>
          <cell r="B38" t="str">
            <v> </v>
          </cell>
          <cell r="C38">
            <v>3000000</v>
          </cell>
          <cell r="D38">
            <v>0</v>
          </cell>
          <cell r="E38">
            <v>0</v>
          </cell>
          <cell r="F38">
            <v>0</v>
          </cell>
          <cell r="G38">
            <v>3000000</v>
          </cell>
          <cell r="H38">
            <v>0</v>
          </cell>
          <cell r="I38" t="str">
            <v>096</v>
          </cell>
          <cell r="J38">
            <v>46022</v>
          </cell>
        </row>
        <row r="39">
          <cell r="A39" t="str">
            <v>832099</v>
          </cell>
          <cell r="B39" t="str">
            <v> </v>
          </cell>
          <cell r="C39">
            <v>5750000</v>
          </cell>
          <cell r="D39">
            <v>0</v>
          </cell>
          <cell r="E39">
            <v>4314273</v>
          </cell>
          <cell r="F39">
            <v>0</v>
          </cell>
          <cell r="G39">
            <v>10064273</v>
          </cell>
          <cell r="H39">
            <v>0</v>
          </cell>
          <cell r="I39" t="str">
            <v>096</v>
          </cell>
          <cell r="J39">
            <v>46022</v>
          </cell>
        </row>
        <row r="40">
          <cell r="A40" t="str">
            <v>833101</v>
          </cell>
          <cell r="B40" t="str">
            <v> </v>
          </cell>
          <cell r="C40">
            <v>3535855924</v>
          </cell>
          <cell r="D40">
            <v>0</v>
          </cell>
          <cell r="E40">
            <v>1363520019</v>
          </cell>
          <cell r="F40">
            <v>0</v>
          </cell>
          <cell r="G40">
            <v>4899375943</v>
          </cell>
          <cell r="H40">
            <v>0</v>
          </cell>
          <cell r="I40" t="str">
            <v>096</v>
          </cell>
          <cell r="J40">
            <v>46022</v>
          </cell>
        </row>
        <row r="41">
          <cell r="A41" t="str">
            <v>851103</v>
          </cell>
          <cell r="B41" t="str">
            <v> </v>
          </cell>
          <cell r="C41">
            <v>10304719200</v>
          </cell>
          <cell r="D41">
            <v>0</v>
          </cell>
          <cell r="E41">
            <v>5123047320</v>
          </cell>
          <cell r="F41">
            <v>0</v>
          </cell>
          <cell r="G41">
            <v>15427766520</v>
          </cell>
          <cell r="H41">
            <v>0</v>
          </cell>
          <cell r="I41" t="str">
            <v>096</v>
          </cell>
          <cell r="J41">
            <v>46022</v>
          </cell>
        </row>
        <row r="42">
          <cell r="A42" t="str">
            <v>852001</v>
          </cell>
          <cell r="B42" t="str">
            <v> </v>
          </cell>
          <cell r="C42">
            <v>366007174</v>
          </cell>
          <cell r="D42">
            <v>0</v>
          </cell>
          <cell r="E42">
            <v>11600000</v>
          </cell>
          <cell r="F42">
            <v>183507174</v>
          </cell>
          <cell r="G42">
            <v>194100000</v>
          </cell>
          <cell r="H42">
            <v>0</v>
          </cell>
          <cell r="I42" t="str">
            <v>096</v>
          </cell>
          <cell r="J42">
            <v>46022</v>
          </cell>
        </row>
        <row r="43">
          <cell r="A43" t="str">
            <v>853101</v>
          </cell>
          <cell r="B43" t="str">
            <v> </v>
          </cell>
          <cell r="C43">
            <v>555644950</v>
          </cell>
          <cell r="D43">
            <v>0</v>
          </cell>
          <cell r="E43">
            <v>185662575</v>
          </cell>
          <cell r="F43">
            <v>0</v>
          </cell>
          <cell r="G43">
            <v>741307525</v>
          </cell>
          <cell r="H43">
            <v>0</v>
          </cell>
          <cell r="I43" t="str">
            <v>096</v>
          </cell>
          <cell r="J43">
            <v>46022</v>
          </cell>
        </row>
        <row r="44">
          <cell r="A44" t="str">
            <v>853201</v>
          </cell>
          <cell r="B44" t="str">
            <v> </v>
          </cell>
          <cell r="C44">
            <v>95546130</v>
          </cell>
          <cell r="D44">
            <v>0</v>
          </cell>
          <cell r="E44">
            <v>32080200</v>
          </cell>
          <cell r="F44">
            <v>0</v>
          </cell>
          <cell r="G44">
            <v>127626330</v>
          </cell>
          <cell r="H44">
            <v>0</v>
          </cell>
          <cell r="I44" t="str">
            <v>096</v>
          </cell>
          <cell r="J44">
            <v>46022</v>
          </cell>
        </row>
        <row r="45">
          <cell r="A45" t="str">
            <v>853401</v>
          </cell>
          <cell r="B45" t="str">
            <v> </v>
          </cell>
          <cell r="C45">
            <v>63502280</v>
          </cell>
          <cell r="D45">
            <v>0</v>
          </cell>
          <cell r="E45">
            <v>21218580</v>
          </cell>
          <cell r="F45">
            <v>0</v>
          </cell>
          <cell r="G45">
            <v>84720860</v>
          </cell>
          <cell r="H45">
            <v>0</v>
          </cell>
          <cell r="I45" t="str">
            <v>096</v>
          </cell>
          <cell r="J45">
            <v>46022</v>
          </cell>
        </row>
        <row r="46">
          <cell r="A46" t="str">
            <v>853999</v>
          </cell>
          <cell r="B46" t="str">
            <v> </v>
          </cell>
          <cell r="C46">
            <v>31751140</v>
          </cell>
          <cell r="D46">
            <v>0</v>
          </cell>
          <cell r="E46">
            <v>10609290</v>
          </cell>
          <cell r="F46">
            <v>0</v>
          </cell>
          <cell r="G46">
            <v>42360430</v>
          </cell>
          <cell r="H46">
            <v>0</v>
          </cell>
          <cell r="I46" t="str">
            <v>096</v>
          </cell>
          <cell r="J46">
            <v>46022</v>
          </cell>
        </row>
        <row r="47">
          <cell r="A47" t="str">
            <v>856001</v>
          </cell>
          <cell r="B47" t="str">
            <v> </v>
          </cell>
          <cell r="C47">
            <v>304545361</v>
          </cell>
          <cell r="D47">
            <v>0</v>
          </cell>
          <cell r="E47">
            <v>154143481</v>
          </cell>
          <cell r="F47">
            <v>0</v>
          </cell>
          <cell r="G47">
            <v>458688842</v>
          </cell>
          <cell r="H47">
            <v>0</v>
          </cell>
          <cell r="I47" t="str">
            <v>096</v>
          </cell>
          <cell r="J47">
            <v>46022</v>
          </cell>
        </row>
        <row r="48">
          <cell r="A48" t="str">
            <v>859001</v>
          </cell>
          <cell r="B48" t="str">
            <v> </v>
          </cell>
          <cell r="C48">
            <v>1081022700</v>
          </cell>
          <cell r="D48">
            <v>0</v>
          </cell>
          <cell r="E48">
            <v>279473040</v>
          </cell>
          <cell r="F48">
            <v>50000000</v>
          </cell>
          <cell r="G48">
            <v>1310495740</v>
          </cell>
          <cell r="H48">
            <v>0</v>
          </cell>
          <cell r="I48" t="str">
            <v>096</v>
          </cell>
          <cell r="J48">
            <v>46022</v>
          </cell>
        </row>
        <row r="49">
          <cell r="A49" t="str">
            <v>861101</v>
          </cell>
          <cell r="B49" t="str">
            <v> </v>
          </cell>
          <cell r="C49">
            <v>13454390</v>
          </cell>
          <cell r="D49">
            <v>0</v>
          </cell>
          <cell r="E49">
            <v>55334023</v>
          </cell>
          <cell r="F49">
            <v>0</v>
          </cell>
          <cell r="G49">
            <v>68788413</v>
          </cell>
          <cell r="H49">
            <v>0</v>
          </cell>
          <cell r="I49" t="str">
            <v>096</v>
          </cell>
          <cell r="J49">
            <v>46022</v>
          </cell>
        </row>
        <row r="50">
          <cell r="A50" t="str">
            <v>861401</v>
          </cell>
          <cell r="B50" t="str">
            <v> </v>
          </cell>
          <cell r="C50">
            <v>54710969</v>
          </cell>
          <cell r="D50">
            <v>0</v>
          </cell>
          <cell r="E50">
            <v>19639272</v>
          </cell>
          <cell r="F50">
            <v>0</v>
          </cell>
          <cell r="G50">
            <v>74350241</v>
          </cell>
          <cell r="H50">
            <v>0</v>
          </cell>
          <cell r="I50" t="str">
            <v>096</v>
          </cell>
          <cell r="J50">
            <v>46022</v>
          </cell>
        </row>
        <row r="51">
          <cell r="A51" t="str">
            <v>862001</v>
          </cell>
          <cell r="B51" t="str">
            <v> </v>
          </cell>
          <cell r="C51">
            <v>97951832</v>
          </cell>
          <cell r="D51">
            <v>0</v>
          </cell>
          <cell r="E51">
            <v>56888547</v>
          </cell>
          <cell r="F51">
            <v>0</v>
          </cell>
          <cell r="G51">
            <v>154840379</v>
          </cell>
          <cell r="H51">
            <v>0</v>
          </cell>
          <cell r="I51" t="str">
            <v>096</v>
          </cell>
          <cell r="J51">
            <v>46022</v>
          </cell>
        </row>
        <row r="52">
          <cell r="A52" t="str">
            <v>863001</v>
          </cell>
          <cell r="B52" t="str">
            <v> </v>
          </cell>
          <cell r="C52">
            <v>35501749</v>
          </cell>
          <cell r="D52">
            <v>0</v>
          </cell>
          <cell r="E52">
            <v>12087964</v>
          </cell>
          <cell r="F52">
            <v>0</v>
          </cell>
          <cell r="G52">
            <v>47589713</v>
          </cell>
          <cell r="H52">
            <v>0</v>
          </cell>
          <cell r="I52" t="str">
            <v>096</v>
          </cell>
          <cell r="J52">
            <v>46022</v>
          </cell>
        </row>
        <row r="53">
          <cell r="A53" t="str">
            <v>865001</v>
          </cell>
          <cell r="B53" t="str">
            <v> </v>
          </cell>
          <cell r="C53">
            <v>57522781</v>
          </cell>
          <cell r="D53">
            <v>0</v>
          </cell>
          <cell r="E53">
            <v>17973016</v>
          </cell>
          <cell r="F53">
            <v>0</v>
          </cell>
          <cell r="G53">
            <v>75495797</v>
          </cell>
          <cell r="H53">
            <v>0</v>
          </cell>
          <cell r="I53" t="str">
            <v>096</v>
          </cell>
          <cell r="J53">
            <v>46022</v>
          </cell>
        </row>
        <row r="54">
          <cell r="A54" t="str">
            <v>866001</v>
          </cell>
          <cell r="B54" t="str">
            <v> </v>
          </cell>
          <cell r="C54">
            <v>2066307275</v>
          </cell>
          <cell r="D54">
            <v>0</v>
          </cell>
          <cell r="E54">
            <v>1048513140</v>
          </cell>
          <cell r="F54">
            <v>8088000</v>
          </cell>
          <cell r="G54">
            <v>3106732415</v>
          </cell>
          <cell r="H54">
            <v>0</v>
          </cell>
          <cell r="I54" t="str">
            <v>096</v>
          </cell>
          <cell r="J54">
            <v>46022</v>
          </cell>
        </row>
        <row r="55">
          <cell r="A55" t="str">
            <v>868001</v>
          </cell>
          <cell r="B55" t="str">
            <v> </v>
          </cell>
          <cell r="C55">
            <v>3700000</v>
          </cell>
          <cell r="D55">
            <v>0</v>
          </cell>
          <cell r="E55">
            <v>0</v>
          </cell>
          <cell r="F55">
            <v>0</v>
          </cell>
          <cell r="G55">
            <v>3700000</v>
          </cell>
          <cell r="H55">
            <v>0</v>
          </cell>
          <cell r="I55" t="str">
            <v>096</v>
          </cell>
          <cell r="J55">
            <v>46022</v>
          </cell>
        </row>
        <row r="56">
          <cell r="A56" t="str">
            <v>869101</v>
          </cell>
          <cell r="B56" t="str">
            <v> </v>
          </cell>
          <cell r="C56">
            <v>286456966</v>
          </cell>
          <cell r="D56">
            <v>0</v>
          </cell>
          <cell r="E56">
            <v>140286782</v>
          </cell>
          <cell r="F56">
            <v>7964879</v>
          </cell>
          <cell r="G56">
            <v>418778869</v>
          </cell>
          <cell r="H56">
            <v>0</v>
          </cell>
          <cell r="I56" t="str">
            <v>096</v>
          </cell>
          <cell r="J56">
            <v>46022</v>
          </cell>
        </row>
        <row r="57">
          <cell r="A57" t="str">
            <v>869301</v>
          </cell>
          <cell r="B57" t="str">
            <v> </v>
          </cell>
          <cell r="C57">
            <v>81240048</v>
          </cell>
          <cell r="D57">
            <v>0</v>
          </cell>
          <cell r="E57">
            <v>0</v>
          </cell>
          <cell r="F57">
            <v>0</v>
          </cell>
          <cell r="G57">
            <v>81240048</v>
          </cell>
          <cell r="H57">
            <v>0</v>
          </cell>
          <cell r="I57" t="str">
            <v>096</v>
          </cell>
          <cell r="J57">
            <v>46022</v>
          </cell>
        </row>
        <row r="58">
          <cell r="A58" t="str">
            <v>869401</v>
          </cell>
          <cell r="B58" t="str">
            <v> </v>
          </cell>
          <cell r="C58">
            <v>145621707</v>
          </cell>
          <cell r="D58">
            <v>0</v>
          </cell>
          <cell r="E58">
            <v>78058571</v>
          </cell>
          <cell r="F58">
            <v>0</v>
          </cell>
          <cell r="G58">
            <v>223680278</v>
          </cell>
          <cell r="H58">
            <v>0</v>
          </cell>
          <cell r="I58" t="str">
            <v>096</v>
          </cell>
          <cell r="J58">
            <v>46022</v>
          </cell>
        </row>
        <row r="59">
          <cell r="A59" t="str">
            <v>869402</v>
          </cell>
          <cell r="B59" t="str">
            <v> </v>
          </cell>
          <cell r="C59">
            <v>694217329</v>
          </cell>
          <cell r="D59">
            <v>0</v>
          </cell>
          <cell r="E59">
            <v>238120052</v>
          </cell>
          <cell r="F59">
            <v>150000000</v>
          </cell>
          <cell r="G59">
            <v>782337381</v>
          </cell>
          <cell r="H59">
            <v>0</v>
          </cell>
          <cell r="I59" t="str">
            <v>096</v>
          </cell>
          <cell r="J59">
            <v>46022</v>
          </cell>
        </row>
        <row r="60">
          <cell r="A60" t="str">
            <v>869501</v>
          </cell>
          <cell r="B60" t="str">
            <v> </v>
          </cell>
          <cell r="C60">
            <v>77777777</v>
          </cell>
          <cell r="D60">
            <v>0</v>
          </cell>
          <cell r="E60">
            <v>55555556</v>
          </cell>
          <cell r="F60">
            <v>0</v>
          </cell>
          <cell r="G60">
            <v>133333333</v>
          </cell>
          <cell r="H60">
            <v>0</v>
          </cell>
          <cell r="I60" t="str">
            <v>096</v>
          </cell>
          <cell r="J60">
            <v>46022</v>
          </cell>
        </row>
        <row r="61">
          <cell r="A61" t="str">
            <v>869701</v>
          </cell>
          <cell r="B61" t="str">
            <v> </v>
          </cell>
          <cell r="C61">
            <v>3247732</v>
          </cell>
          <cell r="D61">
            <v>0</v>
          </cell>
          <cell r="E61">
            <v>3247732</v>
          </cell>
          <cell r="F61">
            <v>0</v>
          </cell>
          <cell r="G61">
            <v>6495464</v>
          </cell>
          <cell r="H61">
            <v>0</v>
          </cell>
          <cell r="I61" t="str">
            <v>096</v>
          </cell>
          <cell r="J61">
            <v>46022</v>
          </cell>
        </row>
        <row r="62">
          <cell r="A62" t="str">
            <v>869999</v>
          </cell>
          <cell r="B62" t="str">
            <v> </v>
          </cell>
          <cell r="C62">
            <v>73416077</v>
          </cell>
          <cell r="D62">
            <v>0</v>
          </cell>
          <cell r="E62">
            <v>322263072</v>
          </cell>
          <cell r="F62">
            <v>120010000</v>
          </cell>
          <cell r="G62">
            <v>275669149</v>
          </cell>
          <cell r="H62">
            <v>0</v>
          </cell>
          <cell r="I62" t="str">
            <v>096</v>
          </cell>
          <cell r="J62">
            <v>46022</v>
          </cell>
        </row>
        <row r="63">
          <cell r="A63" t="str">
            <v>871001</v>
          </cell>
          <cell r="B63" t="str">
            <v> </v>
          </cell>
          <cell r="C63">
            <v>17177265</v>
          </cell>
          <cell r="D63">
            <v>0</v>
          </cell>
          <cell r="E63">
            <v>5725755</v>
          </cell>
          <cell r="F63">
            <v>0</v>
          </cell>
          <cell r="G63">
            <v>22903020</v>
          </cell>
          <cell r="H63">
            <v>0</v>
          </cell>
          <cell r="I63" t="str">
            <v>096</v>
          </cell>
          <cell r="J63">
            <v>46022</v>
          </cell>
        </row>
        <row r="64">
          <cell r="A64" t="str">
            <v>872001</v>
          </cell>
          <cell r="B64" t="str">
            <v> </v>
          </cell>
          <cell r="C64">
            <v>45146237</v>
          </cell>
          <cell r="D64">
            <v>0</v>
          </cell>
          <cell r="E64">
            <v>58787390</v>
          </cell>
          <cell r="F64">
            <v>0</v>
          </cell>
          <cell r="G64">
            <v>103933627</v>
          </cell>
          <cell r="H64">
            <v>0</v>
          </cell>
          <cell r="I64" t="str">
            <v>096</v>
          </cell>
          <cell r="J64">
            <v>46022</v>
          </cell>
        </row>
        <row r="65">
          <cell r="A65" t="str">
            <v>874001</v>
          </cell>
          <cell r="B65" t="str">
            <v> </v>
          </cell>
          <cell r="C65">
            <v>35309091</v>
          </cell>
          <cell r="D65">
            <v>0</v>
          </cell>
          <cell r="E65">
            <v>363000000</v>
          </cell>
          <cell r="F65">
            <v>26888889</v>
          </cell>
          <cell r="G65">
            <v>371420202</v>
          </cell>
          <cell r="H65">
            <v>0</v>
          </cell>
          <cell r="I65" t="str">
            <v>096</v>
          </cell>
          <cell r="J65">
            <v>46022</v>
          </cell>
        </row>
        <row r="66">
          <cell r="A66" t="str">
            <v>875001</v>
          </cell>
          <cell r="B66" t="str">
            <v> </v>
          </cell>
          <cell r="C66">
            <v>0</v>
          </cell>
          <cell r="D66">
            <v>0</v>
          </cell>
          <cell r="E66">
            <v>18454600</v>
          </cell>
          <cell r="F66">
            <v>0</v>
          </cell>
          <cell r="G66">
            <v>18454600</v>
          </cell>
          <cell r="H66">
            <v>0</v>
          </cell>
          <cell r="I66" t="str">
            <v>096</v>
          </cell>
          <cell r="J66">
            <v>46022</v>
          </cell>
        </row>
        <row r="67">
          <cell r="A67" t="str">
            <v>899001</v>
          </cell>
          <cell r="B67" t="str">
            <v> </v>
          </cell>
          <cell r="C67">
            <v>7773041</v>
          </cell>
          <cell r="D67">
            <v>0</v>
          </cell>
          <cell r="E67">
            <v>0</v>
          </cell>
          <cell r="F67">
            <v>0</v>
          </cell>
          <cell r="G67">
            <v>7773041</v>
          </cell>
          <cell r="H67">
            <v>0</v>
          </cell>
          <cell r="I67" t="str">
            <v>096</v>
          </cell>
          <cell r="J67">
            <v>46022</v>
          </cell>
        </row>
        <row r="68">
          <cell r="C68">
            <v>185339361569</v>
          </cell>
          <cell r="D68">
            <v>185339361569</v>
          </cell>
          <cell r="E68">
            <v>38586545745995</v>
          </cell>
          <cell r="F68">
            <v>38586545745995</v>
          </cell>
          <cell r="G68">
            <v>482981351353</v>
          </cell>
          <cell r="H68">
            <v>482981351353</v>
          </cell>
        </row>
      </sheetData>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Sheet1"/>
    </sheetNames>
    <sheetDataSet>
      <sheetData sheetId="0">
        <row r="65">
          <cell r="C65">
            <v>443090394974</v>
          </cell>
          <cell r="D65">
            <v>443090394974</v>
          </cell>
          <cell r="E65">
            <v>38942128430504</v>
          </cell>
          <cell r="F65">
            <v>38942128430504</v>
          </cell>
          <cell r="G65">
            <v>231464686791</v>
          </cell>
          <cell r="H65">
            <v>231464686791</v>
          </cell>
        </row>
      </sheetData>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Sheet1"/>
      <sheetName val="Sheet2"/>
      <sheetName val="Sheet3"/>
      <sheetName val="Sheet4"/>
      <sheetName val="dieu chinh"/>
      <sheetName val="Sheet5"/>
      <sheetName val="Sheet6"/>
      <sheetName val="Sheet7"/>
      <sheetName val="Sheet8"/>
      <sheetName val="Sheet12"/>
      <sheetName val="Sheet9"/>
      <sheetName val="Sheet10"/>
      <sheetName val="Sheet11"/>
      <sheetName val="Sheet13"/>
      <sheetName val="Sheet14"/>
      <sheetName val="Sheet15"/>
      <sheetName val="Sheet16"/>
      <sheetName val="Sheet18"/>
      <sheetName val="Sheet17"/>
      <sheetName val="Sheet19"/>
      <sheetName val="Sheet20"/>
      <sheetName val="Sheet21"/>
      <sheetName val="THUE TNDN 2026"/>
      <sheetName val="Sheet24"/>
      <sheetName val="Sheet22"/>
      <sheetName val="Sheet23"/>
      <sheetName val="THUE TNDN Q2 2022"/>
      <sheetName val="quy 4.2019 last"/>
      <sheetName val="BANG CAN DOI TK QUY 1"/>
      <sheetName val="BCDKTQ2022"/>
      <sheetName val="BCDKTQ32023 "/>
      <sheetName val="BCDKTQ42023 "/>
      <sheetName val="BCDKTQ22023 "/>
      <sheetName val="BCDKTQ12023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31">
          <cell r="R31">
            <v>11955764348</v>
          </cell>
        </row>
        <row r="32">
          <cell r="R32">
            <v>983066826</v>
          </cell>
        </row>
        <row r="33">
          <cell r="P33">
            <v>2419176930</v>
          </cell>
        </row>
        <row r="41">
          <cell r="J41">
            <v>60403</v>
          </cell>
        </row>
        <row r="42">
          <cell r="P42">
            <v>6641156188</v>
          </cell>
        </row>
      </sheetData>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B2:F24"/>
  <sheetViews>
    <sheetView showGridLines="1" workbookViewId="0">
      <selection activeCell="A1" sqref="A1"/>
    </sheetView>
  </sheetViews>
  <sheetFormatPr baseColWidth="8" defaultRowHeight="15"/>
  <cols>
    <col width="3" customWidth="1" style="373" min="1" max="1"/>
    <col width="35" customWidth="1" style="373" min="2" max="2"/>
    <col width="25" customWidth="1" style="373" min="3" max="3"/>
    <col width="25" customWidth="1" style="373" min="4" max="4"/>
    <col width="25" customWidth="1" style="373" min="5" max="5"/>
    <col width="28" customWidth="1" style="373" min="6" max="6"/>
  </cols>
  <sheetData>
    <row r="2">
      <c r="B2" s="698" t="inlineStr">
        <is>
          <t>BỘ CÔNG CỤ LẬP BÁO CÁO TÀI CHÍNH PHỤC VỤ HỢP NHẤT
(CHUẨN KẾ TOÁN TỔ CHỨC TÍN DỤNG - TCTD)</t>
        </is>
      </c>
    </row>
    <row r="3"/>
    <row r="5">
      <c r="B5" s="700" t="inlineStr">
        <is>
          <t>📁 BƯỚC 1: CHỌN FILE BẢNG CÂN ĐỐI TÀI KHOẢN (TT200)</t>
        </is>
      </c>
    </row>
    <row r="6">
      <c r="B6" s="701" t="inlineStr">
        <is>
          <t>1.1. Bấm nút macro:</t>
        </is>
      </c>
      <c r="C6" s="702" t="inlineStr">
        <is>
          <t>👉 [ BẤM ĐỂ CHỌN FILE CĐTK ] (Macro: ChonFileBangCanDoi)</t>
        </is>
      </c>
    </row>
    <row r="7">
      <c r="B7" s="703" t="inlineStr">
        <is>
          <t>1.2. Đường dẫn file:</t>
        </is>
      </c>
      <c r="C7" s="704" t="inlineStr">
        <is>
          <t>data/Bang_can_doi_tai_khoanQ22026.xlsx</t>
        </is>
      </c>
    </row>
    <row r="8">
      <c r="B8" s="703" t="inlineStr">
        <is>
          <t>1.3. Kỳ kế toán nhận diện:</t>
        </is>
      </c>
      <c r="C8" s="705" t="inlineStr">
        <is>
          <t>QUÝ 2 NĂM 2026</t>
        </is>
      </c>
    </row>
    <row r="10">
      <c r="B10" s="700" t="inlineStr">
        <is>
          <t>⚙️ BƯỚC 2: CẤU HÌNH BÚT TOÁN CẤN TRỪ (Intercompany Elimination)</t>
        </is>
      </c>
    </row>
    <row r="12">
      <c r="B12" s="706" t="inlineStr">
        <is>
          <t>STT</t>
        </is>
      </c>
      <c r="C12" s="706" t="inlineStr">
        <is>
          <t>Tên bút toán cấn trừ / điều chỉnh</t>
        </is>
      </c>
      <c r="D12" s="706" t="inlineStr">
        <is>
          <t>Tự động gợi ý (VND)</t>
        </is>
      </c>
      <c r="E12" s="706" t="inlineStr">
        <is>
          <t>Sửa thủ công (nếu có)</t>
        </is>
      </c>
      <c r="F12" s="706" t="inlineStr">
        <is>
          <t>Ghi chú</t>
        </is>
      </c>
    </row>
    <row r="13">
      <c r="B13" s="707" t="n">
        <v>1</v>
      </c>
      <c r="C13" t="inlineStr">
        <is>
          <t>Cấn trừ trung gian ngoại tệ (TK 33886.02 / 13885.02)</t>
        </is>
      </c>
      <c r="D13" s="708" t="n">
        <v>10460694846</v>
      </c>
      <c r="E13" s="709" t="inlineStr"/>
      <c r="F13" s="710" t="inlineStr">
        <is>
          <t>Tự lấy số dư CK TK 13885.02</t>
        </is>
      </c>
    </row>
    <row r="14">
      <c r="B14" s="707" t="n">
        <v>2</v>
      </c>
      <c r="C14" t="inlineStr">
        <is>
          <t>Chuyển phải thu NHCT về tiền gửi (TK 11211.01 / 13881)</t>
        </is>
      </c>
      <c r="D14" s="708" t="n">
        <v>18358019545</v>
      </c>
      <c r="E14" s="709" t="inlineStr"/>
      <c r="F14" s="710" t="inlineStr">
        <is>
          <t>Tự lấy số dư CK TK 13881</t>
        </is>
      </c>
    </row>
    <row r="15">
      <c r="B15" s="707" t="n">
        <v>3</v>
      </c>
      <c r="C15" t="inlineStr">
        <is>
          <t>Cấn trừ đối tác Western Union (WU) (TK 33882.01 / 13882.02)</t>
        </is>
      </c>
      <c r="D15" s="708" t="n">
        <v>0</v>
      </c>
      <c r="E15" s="709" t="inlineStr"/>
      <c r="F15" s="710" t="inlineStr">
        <is>
          <t>Mặc định 0</t>
        </is>
      </c>
    </row>
    <row r="16">
      <c r="B16" s="707" t="n">
        <v>4</v>
      </c>
      <c r="C16" t="inlineStr">
        <is>
          <t>Cấn trừ các tài khoản WASH (TK 33883.01 / 1121)</t>
        </is>
      </c>
      <c r="D16" s="708" t="n">
        <v>0</v>
      </c>
      <c r="E16" s="709" t="inlineStr"/>
      <c r="F16" s="710" t="inlineStr">
        <is>
          <t>Mặc định 0</t>
        </is>
      </c>
    </row>
    <row r="18">
      <c r="B18" s="700" t="inlineStr">
        <is>
          <t>⚡ BƯỚC 3: CẬP NHẬT SỐ LIỆU &amp; LẬP BÁO CÁO HỢP NHẤT</t>
        </is>
      </c>
      <c r="C18" s="711" t="inlineStr">
        <is>
          <t>👉 [ BẤM ĐỂ LẬP BÁO CÁO HỢP NHẤT ] (Macro: CapNhatVaLapBaoCaoHopNhat)</t>
        </is>
      </c>
    </row>
    <row r="20">
      <c r="B20" s="700" t="inlineStr">
        <is>
          <t>📊 KẾT QUẢ KIỂM TRA TÍNH CÂN ĐỐI (STATUS DASHBOARD)</t>
        </is>
      </c>
    </row>
    <row r="21">
      <c r="B21" s="712" t="inlineStr">
        <is>
          <t>Chỉ tiêu đối chiếu</t>
        </is>
      </c>
      <c r="C21" s="712" t="inlineStr">
        <is>
          <t>Tổng Nợ (VNĐ)</t>
        </is>
      </c>
      <c r="D21" s="712" t="inlineStr">
        <is>
          <t>Tổng Có (VNĐ)</t>
        </is>
      </c>
      <c r="E21" s="712" t="inlineStr">
        <is>
          <t>Trạng thái cân đối</t>
        </is>
      </c>
      <c r="F21" s="712" t="inlineStr">
        <is>
          <t>Đánh giá</t>
        </is>
      </c>
    </row>
    <row r="22">
      <c r="B22" s="703" t="inlineStr">
        <is>
          <t>1. Số dư Đầu kỳ (Sheet so lieu)</t>
        </is>
      </c>
      <c r="C22" s="713" t="n">
        <v>231464686791</v>
      </c>
      <c r="D22" s="713" t="n">
        <v>231464686791</v>
      </c>
      <c r="E22" s="714" t="inlineStr">
        <is>
          <t>CÂN ĐỐI (0 đ)</t>
        </is>
      </c>
      <c r="F22" s="715" t="inlineStr">
        <is>
          <t>✅ Hoàn hảo</t>
        </is>
      </c>
    </row>
    <row r="23">
      <c r="B23" s="703" t="inlineStr">
        <is>
          <t>2. Phát sinh trong kỳ (Sheet so lieu)</t>
        </is>
      </c>
      <c r="C23" s="713" t="n">
        <v>52142209214992</v>
      </c>
      <c r="D23" s="713" t="n">
        <v>52142209214992</v>
      </c>
      <c r="E23" s="714" t="inlineStr">
        <is>
          <t>CÂN ĐỐI (0 đ)</t>
        </is>
      </c>
      <c r="F23" s="715" t="inlineStr">
        <is>
          <t>✅ Hoàn hảo</t>
        </is>
      </c>
    </row>
    <row r="24">
      <c r="B24" s="703" t="inlineStr">
        <is>
          <t>3. Số dư Cuối kỳ (Sheet so lieu)</t>
        </is>
      </c>
      <c r="C24" s="713" t="n">
        <v>315725226474</v>
      </c>
      <c r="D24" s="713" t="n">
        <v>315725226474</v>
      </c>
      <c r="E24" s="714" t="inlineStr">
        <is>
          <t>CÂN ĐỐI (0 đ)</t>
        </is>
      </c>
      <c r="F24" s="715" t="inlineStr">
        <is>
          <t>✅ Hoàn hảo</t>
        </is>
      </c>
    </row>
  </sheetData>
  <mergeCells count="3">
    <mergeCell ref="C7:F7"/>
    <mergeCell ref="C18:F18"/>
    <mergeCell ref="B2:F3"/>
  </mergeCells>
  <pageMargins left="0.75" right="0.75" top="1" bottom="1" header="0.5" footer="0.5"/>
</worksheet>
</file>

<file path=xl/worksheets/sheet2.xml><?xml version="1.0" encoding="utf-8"?>
<worksheet xmlns="http://schemas.openxmlformats.org/spreadsheetml/2006/main">
  <sheetPr codeName="Sheet1">
    <outlinePr summaryBelow="1" summaryRight="1"/>
    <pageSetUpPr/>
  </sheetPr>
  <dimension ref="A1:P113"/>
  <sheetViews>
    <sheetView tabSelected="1" zoomScale="85" zoomScaleNormal="85" workbookViewId="0">
      <selection activeCell="D14" sqref="D14"/>
    </sheetView>
  </sheetViews>
  <sheetFormatPr baseColWidth="8" defaultColWidth="9.140625" defaultRowHeight="15"/>
  <cols>
    <col width="5.140625" bestFit="1" customWidth="1" style="39" min="1" max="1"/>
    <col width="39.7109375" customWidth="1" style="39" min="2" max="2"/>
    <col width="9.42578125" customWidth="1" style="39" min="3" max="3"/>
    <col width="21" bestFit="1" customWidth="1" style="532" min="4" max="4"/>
    <col width="20.5703125" customWidth="1" style="39" min="5" max="5"/>
    <col hidden="1" width="51" customWidth="1" style="39" min="6" max="6"/>
    <col hidden="1" width="7.140625" customWidth="1" style="39" min="7" max="7"/>
    <col hidden="1" width="19.85546875" customWidth="1" style="39" min="8" max="9"/>
    <col width="19.5703125" bestFit="1" customWidth="1" style="240" min="10" max="10"/>
    <col width="17.28515625" bestFit="1" customWidth="1" style="39" min="11" max="12"/>
    <col width="9.140625" customWidth="1" style="39" min="13" max="14"/>
    <col width="13.5703125" bestFit="1" customWidth="1" style="39" min="15" max="15"/>
    <col width="16.42578125" bestFit="1" customWidth="1" style="39" min="16" max="16"/>
    <col width="9.140625" customWidth="1" style="39" min="17" max="16384"/>
  </cols>
  <sheetData>
    <row r="1" ht="18" customHeight="1" s="373">
      <c r="A1" s="34" t="inlineStr">
        <is>
          <t>ĐƠN VỊ  BÁO CÁO: Ten cong ty</t>
        </is>
      </c>
      <c r="B1" s="35" t="n"/>
      <c r="C1" s="35" t="n"/>
      <c r="E1" s="39" t="n"/>
      <c r="F1" s="38" t="n"/>
      <c r="G1" s="38" t="n"/>
    </row>
    <row r="2" ht="32.25" customHeight="1" s="373">
      <c r="A2" s="40" t="inlineStr">
        <is>
          <t>Địa chỉ : Dia chi</t>
        </is>
      </c>
      <c r="B2" s="40" t="n"/>
      <c r="C2" s="40" t="n"/>
      <c r="D2" s="427" t="inlineStr">
        <is>
          <t xml:space="preserve"> Mẫu số : B02a/TCTD:  
BCTC riêng lẻ</t>
        </is>
      </c>
      <c r="F2" s="41" t="n"/>
      <c r="G2" s="41" t="n"/>
    </row>
    <row r="3" ht="17.25" customHeight="1" s="373">
      <c r="A3" s="40" t="n"/>
      <c r="B3" s="40" t="n"/>
      <c r="C3" s="40" t="n"/>
      <c r="D3" s="533" t="n"/>
      <c r="E3" s="40" t="n"/>
      <c r="F3" s="40" t="n"/>
      <c r="G3" s="40" t="n"/>
    </row>
    <row r="4">
      <c r="A4" s="428" t="inlineStr">
        <is>
          <t xml:space="preserve">BÁO CÁO TÌNH HÌNH TÀI CHÍNH GIỮA NIÊN ĐỘ </t>
        </is>
      </c>
    </row>
    <row r="5">
      <c r="A5" s="428" t="inlineStr">
        <is>
          <t>(Dạng đầy đủ)</t>
        </is>
      </c>
    </row>
    <row r="6">
      <c r="A6" s="429" t="inlineStr">
        <is>
          <t>Quý I năm 2026</t>
        </is>
      </c>
    </row>
    <row r="7">
      <c r="A7" s="39" t="inlineStr">
        <is>
          <t> </t>
        </is>
      </c>
    </row>
    <row r="8" ht="28.5" customHeight="1" s="373">
      <c r="A8" s="418" t="inlineStr">
        <is>
          <t>STT</t>
        </is>
      </c>
      <c r="B8" s="418" t="inlineStr">
        <is>
          <t>Chỉ tiêu</t>
        </is>
      </c>
      <c r="C8" s="418" t="inlineStr">
        <is>
          <t>Thuyết minh</t>
        </is>
      </c>
      <c r="D8" s="44" t="inlineStr">
        <is>
          <t>Số cuối quý</t>
        </is>
      </c>
      <c r="E8" s="418" t="inlineStr">
        <is>
          <t>Số đầu năm</t>
        </is>
      </c>
    </row>
    <row r="9" ht="14.25" customHeight="1" s="373">
      <c r="A9" s="45" t="n"/>
      <c r="B9" s="534" t="n">
        <v>-1</v>
      </c>
      <c r="C9" s="534" t="n">
        <v>-2</v>
      </c>
      <c r="D9" s="535" t="n">
        <v>-3</v>
      </c>
      <c r="E9" s="534" t="n">
        <v>-4</v>
      </c>
      <c r="F9" s="45" t="n">
        <v>-5</v>
      </c>
      <c r="G9" s="45" t="n">
        <v>-6</v>
      </c>
    </row>
    <row r="10" ht="14.25" customHeight="1" s="373">
      <c r="A10" s="418" t="inlineStr">
        <is>
          <t>A</t>
        </is>
      </c>
      <c r="B10" s="419" t="inlineStr">
        <is>
          <t>TÀI SẢN</t>
        </is>
      </c>
      <c r="C10" s="418" t="n"/>
      <c r="D10" s="536" t="n"/>
      <c r="E10" s="536" t="n"/>
      <c r="F10" s="419" t="n"/>
      <c r="G10" s="419" t="n"/>
    </row>
    <row r="11" ht="14.25" customHeight="1" s="373">
      <c r="A11" s="418" t="inlineStr">
        <is>
          <t>I</t>
        </is>
      </c>
      <c r="B11" s="419" t="inlineStr">
        <is>
          <t>Tiền mặt, vàng bạc, đá quý</t>
        </is>
      </c>
      <c r="C11" s="418" t="n"/>
      <c r="D11" s="536">
        <f>'so lieu'!F1</f>
        <v/>
      </c>
      <c r="E11" s="536" t="n">
        <v>310486901</v>
      </c>
      <c r="F11" s="417" t="inlineStr">
        <is>
          <t>DN: TK 101, 103, 104, 105</t>
        </is>
      </c>
      <c r="G11" s="417" t="inlineStr">
        <is>
          <t>Tổng các khoản mục tương ứng trên BCTC Riêng lẻ và BCTC của Công ty trực thuộc</t>
        </is>
      </c>
      <c r="J11" s="39" t="n"/>
    </row>
    <row r="12" ht="14.25" customHeight="1" s="373">
      <c r="A12" s="418" t="inlineStr">
        <is>
          <t>II</t>
        </is>
      </c>
      <c r="B12" s="419" t="inlineStr">
        <is>
          <t>Tiền gửi tại NHNN</t>
        </is>
      </c>
      <c r="C12" s="418" t="n"/>
      <c r="D12" s="536" t="n"/>
      <c r="E12" s="536" t="n"/>
      <c r="F12" s="417" t="inlineStr">
        <is>
          <t>DN: TK 111, 112</t>
        </is>
      </c>
      <c r="G12" s="415" t="inlineStr">
        <is>
          <t>Như trên</t>
        </is>
      </c>
      <c r="J12" s="39" t="n"/>
    </row>
    <row r="13" ht="14.25" customHeight="1" s="373">
      <c r="A13" s="418" t="inlineStr">
        <is>
          <t>III</t>
        </is>
      </c>
      <c r="B13" s="419" t="inlineStr">
        <is>
          <t xml:space="preserve">Tiền, vàng gửi tại các TCTD khác và cho vay các TCTD khác </t>
        </is>
      </c>
      <c r="C13" s="418" t="n"/>
      <c r="D13" s="537">
        <f>D14+D15+D16</f>
        <v/>
      </c>
      <c r="E13" s="537" t="n">
        <v>570172258783</v>
      </c>
      <c r="F13" s="419" t="n"/>
      <c r="G13" s="415" t="inlineStr">
        <is>
          <t>Như trên</t>
        </is>
      </c>
      <c r="H13" s="538">
        <f>D13-E13</f>
        <v/>
      </c>
      <c r="K13" s="240" t="n"/>
      <c r="L13" s="240" t="n"/>
    </row>
    <row r="14" ht="14.25" customHeight="1" s="373">
      <c r="A14" s="415" t="n">
        <v>1</v>
      </c>
      <c r="B14" s="417" t="inlineStr">
        <is>
          <t>Tiền, vàng gửi tại các TCTD khác</t>
        </is>
      </c>
      <c r="C14" s="418" t="n"/>
      <c r="D14" s="539">
        <f>'so lieu'!F2+'so lieu'!F3+'so lieu'!F4</f>
        <v/>
      </c>
      <c r="E14" s="540" t="n">
        <v>570172258783</v>
      </c>
      <c r="F14" s="417" t="inlineStr">
        <is>
          <t>DN TK 131,132, 133, 134, 135, 136</t>
        </is>
      </c>
      <c r="G14" s="415" t="inlineStr">
        <is>
          <t>Như trên</t>
        </is>
      </c>
      <c r="H14" s="541" t="n"/>
      <c r="I14" s="541" t="n"/>
      <c r="J14" s="240" t="n">
        <v>13161293262</v>
      </c>
      <c r="K14" s="240" t="n">
        <v>12477370150</v>
      </c>
      <c r="L14" s="240" t="n"/>
      <c r="P14" s="542" t="n"/>
    </row>
    <row r="15" ht="14.25" customHeight="1" s="373">
      <c r="A15" s="415" t="n">
        <v>2</v>
      </c>
      <c r="B15" s="417" t="inlineStr">
        <is>
          <t>Cho vay các TCTD khác</t>
        </is>
      </c>
      <c r="C15" s="418" t="n"/>
      <c r="D15" s="540" t="n"/>
      <c r="E15" s="540" t="n"/>
      <c r="F15" s="417" t="inlineStr">
        <is>
          <t>DN TK 201, 202, 203, 205.</t>
        </is>
      </c>
      <c r="G15" s="415" t="inlineStr">
        <is>
          <t>Như trên</t>
        </is>
      </c>
      <c r="K15" s="240" t="n"/>
      <c r="L15" s="240" t="n"/>
    </row>
    <row r="16" ht="14.25" customHeight="1" s="373">
      <c r="A16" s="415" t="n">
        <v>3</v>
      </c>
      <c r="B16" s="417" t="inlineStr">
        <is>
          <t>Dự phòng rủi ro cho vay các TCTD khác (*)</t>
        </is>
      </c>
      <c r="C16" s="418" t="n"/>
      <c r="D16" s="540" t="n"/>
      <c r="E16" s="540" t="n"/>
      <c r="F16" s="417" t="inlineStr">
        <is>
          <t>DC: TK 209</t>
        </is>
      </c>
      <c r="G16" s="415" t="inlineStr">
        <is>
          <t>Như trên</t>
        </is>
      </c>
      <c r="J16" s="543" t="n"/>
      <c r="K16" s="240" t="n"/>
      <c r="L16" s="543" t="n"/>
    </row>
    <row r="17" ht="14.25" customHeight="1" s="373">
      <c r="A17" s="418" t="inlineStr">
        <is>
          <t>IV</t>
        </is>
      </c>
      <c r="B17" s="419" t="inlineStr">
        <is>
          <t xml:space="preserve">Chứng khoán kinh doanh </t>
        </is>
      </c>
      <c r="C17" s="418" t="n"/>
      <c r="D17" s="536" t="n"/>
      <c r="E17" s="536" t="n"/>
      <c r="F17" s="418" t="n"/>
      <c r="G17" s="415" t="inlineStr">
        <is>
          <t>Như trên</t>
        </is>
      </c>
      <c r="L17" s="541" t="n"/>
    </row>
    <row r="18" ht="18.75" customHeight="1" s="373">
      <c r="A18" s="415" t="n">
        <v>1</v>
      </c>
      <c r="B18" s="417" t="inlineStr">
        <is>
          <t>Chứng khoán kinh doanh (1)</t>
        </is>
      </c>
      <c r="C18" s="418" t="n"/>
      <c r="D18" s="540" t="n"/>
      <c r="E18" s="540" t="n"/>
      <c r="F18" s="417" t="inlineStr">
        <is>
          <t>Chênh lệch (DN - DC) TK: 141, 142, 148</t>
        </is>
      </c>
      <c r="G18" s="415" t="inlineStr">
        <is>
          <t>Như trên</t>
        </is>
      </c>
      <c r="L18" s="541" t="n"/>
    </row>
    <row r="19" ht="14.25" customHeight="1" s="373">
      <c r="A19" s="415" t="n">
        <v>2</v>
      </c>
      <c r="B19" s="417" t="inlineStr">
        <is>
          <t>Dự phòng giảm giá chứng khoán kinh doanh (*)</t>
        </is>
      </c>
      <c r="C19" s="418" t="n"/>
      <c r="D19" s="540" t="n"/>
      <c r="E19" s="540" t="n"/>
      <c r="F19" s="417" t="inlineStr">
        <is>
          <t>DC TK: 149</t>
        </is>
      </c>
      <c r="G19" s="415" t="inlineStr">
        <is>
          <t>Như trên</t>
        </is>
      </c>
      <c r="L19" s="541" t="n"/>
    </row>
    <row r="20" ht="14.25" customHeight="1" s="373">
      <c r="A20" s="418" t="inlineStr">
        <is>
          <t>V</t>
        </is>
      </c>
      <c r="B20" s="419" t="inlineStr">
        <is>
          <t>Các công cụ tài chính phái sinh và các tài sản tài chính khác</t>
        </is>
      </c>
      <c r="C20" s="418" t="n"/>
      <c r="D20" s="536" t="n"/>
      <c r="E20" s="536" t="n"/>
      <c r="F20" s="417" t="inlineStr">
        <is>
          <t>Chênh lệch DN TK: 486 (nếu DN &gt; DC)</t>
        </is>
      </c>
      <c r="G20" s="415" t="inlineStr">
        <is>
          <t>Như trên</t>
        </is>
      </c>
      <c r="L20" s="541" t="n"/>
    </row>
    <row r="21" ht="14.25" customHeight="1" s="373">
      <c r="A21" s="418" t="inlineStr">
        <is>
          <t>VI</t>
        </is>
      </c>
      <c r="B21" s="419" t="inlineStr">
        <is>
          <t>Cho vay khách hàng</t>
        </is>
      </c>
      <c r="C21" s="418" t="n"/>
      <c r="D21" s="536" t="n"/>
      <c r="E21" s="536" t="n"/>
      <c r="F21" s="419" t="n"/>
      <c r="G21" s="415" t="inlineStr">
        <is>
          <t>Như trên</t>
        </is>
      </c>
      <c r="L21" s="541" t="n"/>
    </row>
    <row r="22" ht="14.25" customHeight="1" s="373">
      <c r="A22" s="415" t="n">
        <v>1</v>
      </c>
      <c r="B22" s="417" t="inlineStr">
        <is>
          <t>Cho vay khách hàng</t>
        </is>
      </c>
      <c r="C22" s="418" t="n"/>
      <c r="D22" s="540" t="n"/>
      <c r="E22" s="544" t="n"/>
      <c r="F22" s="417" t="inlineStr">
        <is>
          <t>DN TK 211, 212, 213, 214, 215, 216, 221, 222, 231, 232, 241, 242, 251, 252, 253, 254, 255, 256, 261, 262, 263, 264, 265, 266, 267, 268, 271, 272, 273, 275, 281, 282, 283, 284, 285, 291, 292, 293.</t>
        </is>
      </c>
      <c r="G22" s="415" t="inlineStr">
        <is>
          <t>Như trên</t>
        </is>
      </c>
      <c r="L22" s="541" t="n"/>
    </row>
    <row r="23">
      <c r="A23" s="545" t="n"/>
      <c r="B23" s="545" t="n"/>
      <c r="C23" s="545" t="n"/>
      <c r="D23" s="545" t="n"/>
      <c r="E23" s="546" t="n"/>
      <c r="F23" s="545" t="n"/>
      <c r="G23" s="545" t="n"/>
      <c r="L23" s="541" t="n"/>
    </row>
    <row r="24" ht="14.25" customHeight="1" s="373">
      <c r="A24" s="415" t="n">
        <v>2</v>
      </c>
      <c r="B24" s="417" t="inlineStr">
        <is>
          <t>Dự phòng rủi ro cho vay khách hàng (*)</t>
        </is>
      </c>
      <c r="C24" s="418" t="n"/>
      <c r="D24" s="540" t="n"/>
      <c r="E24" s="540" t="n"/>
      <c r="F24" s="417" t="inlineStr">
        <is>
          <t>DC TK 219, 229, 239, 249, 259, 269, 279, 289, 299.</t>
        </is>
      </c>
      <c r="G24" s="415" t="inlineStr">
        <is>
          <t>Như trên</t>
        </is>
      </c>
      <c r="L24" s="541" t="n"/>
    </row>
    <row r="25" ht="14.25" customHeight="1" s="373">
      <c r="A25" s="418" t="inlineStr">
        <is>
          <t>VII</t>
        </is>
      </c>
      <c r="B25" s="419" t="inlineStr">
        <is>
          <t>Hoạt động mua nợ</t>
        </is>
      </c>
      <c r="C25" s="418" t="inlineStr">
        <is>
          <t>V.07</t>
        </is>
      </c>
      <c r="D25" s="536" t="n"/>
      <c r="E25" s="536" t="n"/>
      <c r="F25" s="419" t="n"/>
      <c r="G25" s="415" t="n"/>
      <c r="L25" s="541" t="n"/>
    </row>
    <row r="26" ht="14.25" customHeight="1" s="373">
      <c r="A26" s="415" t="n">
        <v>1</v>
      </c>
      <c r="B26" s="417" t="inlineStr">
        <is>
          <t>Mua nợ</t>
        </is>
      </c>
      <c r="C26" s="418" t="n"/>
      <c r="D26" s="540" t="n"/>
      <c r="E26" s="540" t="n"/>
      <c r="F26" s="417" t="inlineStr">
        <is>
          <t>DN TK 371, 372</t>
        </is>
      </c>
      <c r="G26" s="415" t="inlineStr">
        <is>
          <t>Như trên</t>
        </is>
      </c>
      <c r="L26" s="541" t="n"/>
    </row>
    <row r="27" ht="14.25" customHeight="1" s="373">
      <c r="A27" s="415" t="n">
        <v>2</v>
      </c>
      <c r="B27" s="417" t="inlineStr">
        <is>
          <t>Dự phòng rủi ro hoạt động mua nợ (*)</t>
        </is>
      </c>
      <c r="C27" s="418" t="n"/>
      <c r="D27" s="540" t="n"/>
      <c r="E27" s="540" t="n"/>
      <c r="F27" s="417" t="inlineStr">
        <is>
          <t>DC TK 379</t>
        </is>
      </c>
      <c r="G27" s="415" t="inlineStr">
        <is>
          <t>Như trên</t>
        </is>
      </c>
      <c r="L27" s="541" t="n"/>
    </row>
    <row r="28" ht="14.25" customHeight="1" s="373">
      <c r="A28" s="418" t="inlineStr">
        <is>
          <t>VIII</t>
        </is>
      </c>
      <c r="B28" s="419" t="inlineStr">
        <is>
          <t xml:space="preserve">Chứng khoán đầu tư </t>
        </is>
      </c>
      <c r="C28" s="418" t="n"/>
      <c r="D28" s="536" t="n"/>
      <c r="E28" s="536" t="n"/>
      <c r="F28" s="419" t="n"/>
      <c r="G28" s="415" t="inlineStr">
        <is>
          <t>Như trên</t>
        </is>
      </c>
      <c r="L28" s="541" t="n"/>
    </row>
    <row r="29" ht="14.25" customHeight="1" s="373">
      <c r="A29" s="415" t="n">
        <v>1</v>
      </c>
      <c r="B29" s="417" t="inlineStr">
        <is>
          <t>Chứng khoán đầu tư sẵn sàng để bán (2)</t>
        </is>
      </c>
      <c r="C29" s="418" t="n"/>
      <c r="D29" s="540" t="n"/>
      <c r="E29" s="544" t="n"/>
      <c r="F29" s="417" t="inlineStr">
        <is>
          <t>DN TK 121, 122, 123</t>
        </is>
      </c>
      <c r="G29" s="415" t="inlineStr">
        <is>
          <t>Như trên</t>
        </is>
      </c>
      <c r="L29" s="541" t="n"/>
    </row>
    <row r="30" ht="14.25" customHeight="1" s="373">
      <c r="A30" s="545" t="n"/>
      <c r="B30" s="545" t="n"/>
      <c r="C30" s="545" t="n"/>
      <c r="D30" s="545" t="n"/>
      <c r="E30" s="546" t="n"/>
      <c r="F30" s="417" t="inlineStr">
        <is>
          <t>Chênh lệch (DN - DC) TK 151, 152, 153, 154, 155, 156, 157.</t>
        </is>
      </c>
      <c r="G30" s="545" t="n"/>
      <c r="L30" s="541" t="n"/>
    </row>
    <row r="31" ht="14.25" customHeight="1" s="373">
      <c r="A31" s="415" t="n">
        <v>2</v>
      </c>
      <c r="B31" s="417" t="inlineStr">
        <is>
          <t>Chứng khoán đầu tư giữ đến ngày đáo hạn</t>
        </is>
      </c>
      <c r="C31" s="418" t="n"/>
      <c r="D31" s="540" t="n"/>
      <c r="E31" s="540" t="n"/>
      <c r="F31" s="417" t="inlineStr">
        <is>
          <t>Chênh lệch (DN - DC) TK 161, 162, 163, 164.</t>
        </is>
      </c>
      <c r="G31" s="415" t="inlineStr">
        <is>
          <t>Như trên</t>
        </is>
      </c>
      <c r="L31" s="541" t="n"/>
    </row>
    <row r="32" ht="14.25" customHeight="1" s="373">
      <c r="A32" s="415" t="n">
        <v>3</v>
      </c>
      <c r="B32" s="417" t="inlineStr">
        <is>
          <t>Dự phòng giảm giá chứng khoán đầu tư (*)</t>
        </is>
      </c>
      <c r="C32" s="418" t="n"/>
      <c r="D32" s="540" t="n"/>
      <c r="E32" s="540" t="n"/>
      <c r="F32" s="417" t="inlineStr">
        <is>
          <t>DC TK: 129, 159, 169.</t>
        </is>
      </c>
      <c r="G32" s="415" t="inlineStr">
        <is>
          <t>Như trên</t>
        </is>
      </c>
      <c r="L32" s="541" t="n"/>
    </row>
    <row r="33" ht="14.25" customHeight="1" s="373">
      <c r="A33" s="418" t="inlineStr">
        <is>
          <t>XI</t>
        </is>
      </c>
      <c r="B33" s="419" t="inlineStr">
        <is>
          <t xml:space="preserve">Góp vốn, đầu tư dài hạn </t>
        </is>
      </c>
      <c r="C33" s="418" t="n"/>
      <c r="D33" s="536" t="n"/>
      <c r="E33" s="536" t="n"/>
      <c r="F33" s="419" t="n"/>
      <c r="G33" s="415" t="inlineStr">
        <is>
          <t>Như trên</t>
        </is>
      </c>
      <c r="L33" s="541" t="n"/>
    </row>
    <row r="34" ht="14.25" customHeight="1" s="373">
      <c r="A34" s="415" t="n">
        <v>1</v>
      </c>
      <c r="B34" s="417" t="inlineStr">
        <is>
          <t>Đầu tư vào công ty trực thuộc</t>
        </is>
      </c>
      <c r="C34" s="418" t="n"/>
      <c r="D34" s="540" t="n"/>
      <c r="E34" s="540" t="n"/>
      <c r="F34" s="417" t="inlineStr">
        <is>
          <t>DN TK: 341, 345</t>
        </is>
      </c>
      <c r="G34" s="417" t="inlineStr">
        <is>
          <t>Không thể hiện trên Bảng CĐKT hợp nhất</t>
        </is>
      </c>
      <c r="L34" s="541" t="n"/>
    </row>
    <row r="35" ht="14.25" customHeight="1" s="373">
      <c r="A35" s="415" t="n">
        <v>2</v>
      </c>
      <c r="B35" s="417" t="inlineStr">
        <is>
          <t>Vốn góp liên doanh</t>
        </is>
      </c>
      <c r="C35" s="418" t="n"/>
      <c r="D35" s="540" t="n"/>
      <c r="E35" s="540" t="n"/>
      <c r="F35" s="417" t="inlineStr">
        <is>
          <t>DN TK: 342, 346</t>
        </is>
      </c>
      <c r="G35" s="417" t="inlineStr">
        <is>
          <t xml:space="preserve">Lấy số liệu từ hệ thống sổ kế toán phục vụ cho hợp nhất </t>
        </is>
      </c>
      <c r="L35" s="541" t="n"/>
    </row>
    <row r="36" ht="14.25" customHeight="1" s="373">
      <c r="A36" s="415" t="n">
        <v>3</v>
      </c>
      <c r="B36" s="417" t="inlineStr">
        <is>
          <t>Đầu tư vào công ty liên kết</t>
        </is>
      </c>
      <c r="C36" s="418" t="n"/>
      <c r="D36" s="540" t="n"/>
      <c r="E36" s="540" t="n"/>
      <c r="F36" s="417" t="inlineStr">
        <is>
          <t>DN TK: 343, 347</t>
        </is>
      </c>
      <c r="G36" s="545" t="n"/>
      <c r="L36" s="541" t="n"/>
    </row>
    <row r="37" ht="14.25" customHeight="1" s="373">
      <c r="A37" s="415" t="n">
        <v>4</v>
      </c>
      <c r="B37" s="417" t="inlineStr">
        <is>
          <t>Đầu tư dài hạn khác</t>
        </is>
      </c>
      <c r="C37" s="418" t="n"/>
      <c r="D37" s="540" t="n"/>
      <c r="E37" s="540" t="n"/>
      <c r="F37" s="417" t="inlineStr">
        <is>
          <t>DN TK: 344, 348</t>
        </is>
      </c>
      <c r="G37" s="417" t="inlineStr">
        <is>
          <t>Tổng các khoản mục tương ứng trên BCTC riêng lẻ và BCTC Công ty trực thuộc</t>
        </is>
      </c>
      <c r="L37" s="541" t="n"/>
    </row>
    <row r="38" ht="14.25" customHeight="1" s="373">
      <c r="A38" s="415" t="n">
        <v>5</v>
      </c>
      <c r="B38" s="417" t="inlineStr">
        <is>
          <t>Dự phòng giảm giá đầu tư dài hạn (*)</t>
        </is>
      </c>
      <c r="C38" s="418" t="n"/>
      <c r="D38" s="540" t="n"/>
      <c r="E38" s="540" t="n"/>
      <c r="F38" s="417" t="inlineStr">
        <is>
          <t>DC TK: 349</t>
        </is>
      </c>
      <c r="G38" s="415" t="inlineStr">
        <is>
          <t>như trên</t>
        </is>
      </c>
      <c r="L38" s="541" t="n"/>
    </row>
    <row r="39" ht="14.25" customHeight="1" s="373">
      <c r="A39" s="418" t="inlineStr">
        <is>
          <t>X</t>
        </is>
      </c>
      <c r="B39" s="419" t="inlineStr">
        <is>
          <t xml:space="preserve">Tài sản cố định </t>
        </is>
      </c>
      <c r="C39" s="418" t="n"/>
      <c r="D39" s="536">
        <f>D40+D43+D46</f>
        <v/>
      </c>
      <c r="E39" s="536" t="n">
        <v>40695988</v>
      </c>
      <c r="F39" s="418" t="inlineStr">
        <is>
          <t>(1+2+3)</t>
        </is>
      </c>
      <c r="G39" s="419" t="n"/>
      <c r="L39" s="541" t="n"/>
    </row>
    <row r="40" ht="14.25" customHeight="1" s="373">
      <c r="A40" s="415" t="n">
        <v>1</v>
      </c>
      <c r="B40" s="417" t="inlineStr">
        <is>
          <t xml:space="preserve">Tài sản cố định hữu hình </t>
        </is>
      </c>
      <c r="C40" s="418" t="n"/>
      <c r="D40" s="540">
        <f>D41+D42</f>
        <v/>
      </c>
      <c r="E40" s="540" t="n">
        <v>40695988</v>
      </c>
      <c r="F40" s="415" t="inlineStr">
        <is>
          <t>(a + b)</t>
        </is>
      </c>
      <c r="G40" s="415" t="n"/>
      <c r="J40" s="543" t="n"/>
      <c r="L40" s="541" t="n"/>
    </row>
    <row r="41" ht="14.25" customHeight="1" s="373">
      <c r="A41" s="415" t="inlineStr">
        <is>
          <t>a</t>
        </is>
      </c>
      <c r="B41" s="417" t="inlineStr">
        <is>
          <t>Nguyên giá TSCĐ</t>
        </is>
      </c>
      <c r="C41" s="418" t="n"/>
      <c r="D41" s="540">
        <f>'so lieu'!F6+'so lieu'!F5+'so lieu'!F8+'so lieu'!F7</f>
        <v/>
      </c>
      <c r="E41" s="540" t="n">
        <v>2778069546</v>
      </c>
      <c r="F41" s="417" t="inlineStr">
        <is>
          <t>DN TK: 301</t>
        </is>
      </c>
      <c r="G41" s="415" t="inlineStr">
        <is>
          <t>như trên</t>
        </is>
      </c>
      <c r="L41" s="541" t="n"/>
    </row>
    <row r="42" ht="14.25" customHeight="1" s="373">
      <c r="A42" s="415" t="inlineStr">
        <is>
          <t>b</t>
        </is>
      </c>
      <c r="B42" s="417" t="inlineStr">
        <is>
          <t>Hao mòn TSCĐ (*)</t>
        </is>
      </c>
      <c r="C42" s="418" t="n"/>
      <c r="D42" s="540">
        <f>-'so lieu'!G10-'so lieu'!G9</f>
        <v/>
      </c>
      <c r="E42" s="540" t="n">
        <v>-2737373558</v>
      </c>
      <c r="F42" s="417" t="inlineStr">
        <is>
          <t>DC TK: 3051</t>
        </is>
      </c>
      <c r="G42" s="415" t="inlineStr">
        <is>
          <t>như trên</t>
        </is>
      </c>
      <c r="L42" s="541" t="n"/>
    </row>
    <row r="43" ht="14.25" customHeight="1" s="373">
      <c r="A43" s="415" t="n">
        <v>2</v>
      </c>
      <c r="B43" s="417" t="inlineStr">
        <is>
          <t xml:space="preserve">Tài sản cố định thuê tài chính </t>
        </is>
      </c>
      <c r="C43" s="418" t="n"/>
      <c r="D43" s="540" t="n"/>
      <c r="E43" s="540" t="n"/>
      <c r="F43" s="415" t="inlineStr">
        <is>
          <t>(a + b)</t>
        </is>
      </c>
      <c r="G43" s="415" t="n"/>
      <c r="L43" s="541" t="n"/>
    </row>
    <row r="44" ht="14.25" customHeight="1" s="373">
      <c r="A44" s="415" t="inlineStr">
        <is>
          <t>a</t>
        </is>
      </c>
      <c r="B44" s="417" t="inlineStr">
        <is>
          <t>Nguyên giá TSCĐ</t>
        </is>
      </c>
      <c r="C44" s="418" t="n"/>
      <c r="D44" s="540" t="n"/>
      <c r="E44" s="540" t="n"/>
      <c r="F44" s="417" t="inlineStr">
        <is>
          <t>DN TK: 303</t>
        </is>
      </c>
      <c r="G44" s="415" t="inlineStr">
        <is>
          <t>như trên</t>
        </is>
      </c>
      <c r="L44" s="541" t="n"/>
    </row>
    <row r="45" ht="14.25" customHeight="1" s="373">
      <c r="A45" s="415" t="inlineStr">
        <is>
          <t>b</t>
        </is>
      </c>
      <c r="B45" s="417" t="inlineStr">
        <is>
          <t>Hao mòn TSCĐ (*)</t>
        </is>
      </c>
      <c r="C45" s="418" t="n"/>
      <c r="D45" s="540" t="n"/>
      <c r="E45" s="540" t="n"/>
      <c r="F45" s="417" t="inlineStr">
        <is>
          <t>DC TK: 3053</t>
        </is>
      </c>
      <c r="G45" s="415" t="inlineStr">
        <is>
          <t>như trên</t>
        </is>
      </c>
      <c r="L45" s="541" t="n"/>
    </row>
    <row r="46" ht="14.25" customHeight="1" s="373">
      <c r="A46" s="415" t="n">
        <v>3</v>
      </c>
      <c r="B46" s="417" t="inlineStr">
        <is>
          <t xml:space="preserve">Tài sản cố định vô hình </t>
        </is>
      </c>
      <c r="C46" s="418" t="n"/>
      <c r="D46" s="540" t="n"/>
      <c r="E46" s="540" t="n"/>
      <c r="F46" s="417" t="n"/>
      <c r="G46" s="415" t="n"/>
      <c r="L46" s="541" t="n"/>
    </row>
    <row r="47" ht="14.25" customHeight="1" s="373">
      <c r="A47" s="415" t="inlineStr">
        <is>
          <t>a</t>
        </is>
      </c>
      <c r="B47" s="417" t="inlineStr">
        <is>
          <t>Nguyên giá TSCĐ</t>
        </is>
      </c>
      <c r="C47" s="418" t="n"/>
      <c r="D47" s="540" t="n"/>
      <c r="E47" s="540" t="n"/>
      <c r="F47" s="417" t="inlineStr">
        <is>
          <t>DN TK: 302</t>
        </is>
      </c>
      <c r="G47" s="415" t="inlineStr">
        <is>
          <t>như trên</t>
        </is>
      </c>
      <c r="L47" s="541" t="n"/>
    </row>
    <row r="48" ht="14.25" customHeight="1" s="373">
      <c r="A48" s="415" t="inlineStr">
        <is>
          <t>b</t>
        </is>
      </c>
      <c r="B48" s="417" t="inlineStr">
        <is>
          <t>Hao mòn TSCĐ (*)</t>
        </is>
      </c>
      <c r="C48" s="418" t="n"/>
      <c r="D48" s="540" t="n"/>
      <c r="E48" s="540" t="n"/>
      <c r="F48" s="417" t="inlineStr">
        <is>
          <t>DC TK: 3052</t>
        </is>
      </c>
      <c r="G48" s="415" t="inlineStr">
        <is>
          <t>như trên</t>
        </is>
      </c>
      <c r="L48" s="541" t="n"/>
    </row>
    <row r="49" ht="14.25" customHeight="1" s="373">
      <c r="A49" s="418" t="inlineStr">
        <is>
          <t>XI</t>
        </is>
      </c>
      <c r="B49" s="419" t="inlineStr">
        <is>
          <t xml:space="preserve">Bất động sản đầu tư </t>
        </is>
      </c>
      <c r="C49" s="418" t="n"/>
      <c r="D49" s="536" t="n"/>
      <c r="E49" s="536" t="n"/>
      <c r="F49" s="417" t="inlineStr">
        <is>
          <t>BCĐKT riêng lẻ không có chỉ tiêu này</t>
        </is>
      </c>
      <c r="G49" s="418" t="n"/>
      <c r="L49" s="541" t="n"/>
    </row>
    <row r="50" ht="14.25" customHeight="1" s="373">
      <c r="A50" s="415" t="inlineStr">
        <is>
          <t>a</t>
        </is>
      </c>
      <c r="B50" s="417" t="inlineStr">
        <is>
          <t>Nguyên giá Bất động sản</t>
        </is>
      </c>
      <c r="C50" s="418" t="n"/>
      <c r="D50" s="540" t="n"/>
      <c r="E50" s="540" t="n"/>
      <c r="F50" s="417" t="inlineStr">
        <is>
          <t>DN TK: 304</t>
        </is>
      </c>
      <c r="G50" s="415" t="inlineStr">
        <is>
          <t>như trên</t>
        </is>
      </c>
      <c r="L50" s="541" t="n"/>
    </row>
    <row r="51" ht="14.25" customHeight="1" s="373">
      <c r="A51" s="415" t="inlineStr">
        <is>
          <t>b</t>
        </is>
      </c>
      <c r="B51" s="417" t="inlineStr">
        <is>
          <t>Hao mòn Bất động sản (*)</t>
        </is>
      </c>
      <c r="C51" s="418" t="n"/>
      <c r="D51" s="540" t="n"/>
      <c r="E51" s="540" t="n"/>
      <c r="F51" s="417" t="inlineStr">
        <is>
          <t>DC TK: 3054</t>
        </is>
      </c>
      <c r="G51" s="415" t="inlineStr">
        <is>
          <t>như trên</t>
        </is>
      </c>
      <c r="L51" s="541" t="n"/>
    </row>
    <row r="52" ht="14.25" customHeight="1" s="373">
      <c r="A52" s="418" t="inlineStr">
        <is>
          <t>XII</t>
        </is>
      </c>
      <c r="B52" s="419" t="inlineStr">
        <is>
          <t xml:space="preserve">Tài sản có khác </t>
        </is>
      </c>
      <c r="C52" s="418" t="n"/>
      <c r="D52" s="536">
        <f>SUM(D53:D57)</f>
        <v/>
      </c>
      <c r="E52" s="536" t="n">
        <v>17697819209</v>
      </c>
      <c r="F52" s="419" t="n"/>
      <c r="G52" s="419" t="n"/>
      <c r="H52" s="538">
        <f>D52-E52</f>
        <v/>
      </c>
      <c r="L52" s="541" t="n"/>
    </row>
    <row r="53" ht="14.25" customHeight="1" s="373">
      <c r="A53" s="415" t="n">
        <v>1</v>
      </c>
      <c r="B53" s="417" t="inlineStr">
        <is>
          <t>Các khoản phải thu</t>
        </is>
      </c>
      <c r="C53" s="418" t="n"/>
      <c r="D53" s="539">
        <f>'so lieu'!F13+'so lieu'!F14+'so lieu'!F15+'so lieu'!F16+'so lieu'!F17</f>
        <v/>
      </c>
      <c r="E53" s="540" t="n">
        <v>13099956004</v>
      </c>
      <c r="F53" s="227" t="inlineStr">
        <is>
          <t>-DN TK 35,36</t>
        </is>
      </c>
      <c r="G53" s="415" t="inlineStr">
        <is>
          <t>như trên</t>
        </is>
      </c>
      <c r="H53" s="541">
        <f>D53-E53</f>
        <v/>
      </c>
      <c r="J53" s="543" t="n"/>
      <c r="L53" s="541" t="n"/>
    </row>
    <row r="54" ht="14.25" customHeight="1" s="373">
      <c r="A54" s="415" t="n">
        <v>2</v>
      </c>
      <c r="B54" s="417" t="inlineStr">
        <is>
          <t>Các khoản lãi, phí phải thu</t>
        </is>
      </c>
      <c r="C54" s="418" t="n"/>
      <c r="D54" s="540">
        <f>'so lieu'!F20+'so lieu'!F21</f>
        <v/>
      </c>
      <c r="E54" s="540" t="n">
        <v>4363287205</v>
      </c>
      <c r="F54" s="417" t="inlineStr">
        <is>
          <t>DN TK 391, 392, 394, 396, 397</t>
        </is>
      </c>
      <c r="G54" s="415" t="inlineStr">
        <is>
          <t xml:space="preserve">Như trên. </t>
        </is>
      </c>
      <c r="J54" s="543">
        <f>D54-E54</f>
        <v/>
      </c>
      <c r="K54" s="541" t="n"/>
      <c r="L54" s="541" t="n"/>
    </row>
    <row r="55" ht="14.25" customHeight="1" s="373">
      <c r="A55" s="415" t="n">
        <v>3</v>
      </c>
      <c r="B55" s="417" t="inlineStr">
        <is>
          <t>Tài sản thuế TNDN hoãn lại</t>
        </is>
      </c>
      <c r="C55" s="418" t="n"/>
      <c r="D55" s="540" t="n"/>
      <c r="E55" s="540" t="n"/>
      <c r="F55" s="417" t="inlineStr">
        <is>
          <t>DN TK: 3535</t>
        </is>
      </c>
      <c r="G55" s="415" t="inlineStr">
        <is>
          <t>như trên</t>
        </is>
      </c>
      <c r="L55" s="541" t="n"/>
    </row>
    <row r="56" ht="14.25" customHeight="1" s="373">
      <c r="A56" s="415" t="n">
        <v>4</v>
      </c>
      <c r="B56" s="417" t="inlineStr">
        <is>
          <t>Tài sản có khác</t>
        </is>
      </c>
      <c r="C56" s="418" t="n"/>
      <c r="D56" s="540">
        <f>'so lieu'!F19+'so lieu'!F11</f>
        <v/>
      </c>
      <c r="E56" s="540" t="n">
        <v>234576000</v>
      </c>
      <c r="F56" s="417" t="inlineStr">
        <is>
          <t>- Chênh lệch (DN - DC) TK:  31</t>
        </is>
      </c>
      <c r="G56" s="415" t="inlineStr">
        <is>
          <t>như trên</t>
        </is>
      </c>
      <c r="H56" s="541">
        <f>D56-E56</f>
        <v/>
      </c>
      <c r="J56" s="543" t="n"/>
      <c r="L56" s="541" t="n"/>
    </row>
    <row r="57" ht="14.25" customHeight="1" s="373">
      <c r="A57" s="54" t="n"/>
      <c r="B57" s="417" t="inlineStr">
        <is>
          <t>- Trong đó: Lợi thế thương mại</t>
        </is>
      </c>
      <c r="C57" s="418" t="n"/>
      <c r="D57" s="540" t="n"/>
      <c r="E57" s="540" t="n"/>
      <c r="F57" s="417" t="inlineStr">
        <is>
          <t>DN TK 3880.10</t>
        </is>
      </c>
      <c r="G57" s="415" t="inlineStr">
        <is>
          <t>Như trên</t>
        </is>
      </c>
      <c r="L57" s="541" t="n"/>
    </row>
    <row r="58" hidden="1" ht="14.25" customHeight="1" s="373">
      <c r="A58" s="418" t="inlineStr">
        <is>
          <t>XIII</t>
        </is>
      </c>
      <c r="B58" s="419" t="inlineStr">
        <is>
          <t>Phải thu dài hạn khác</t>
        </is>
      </c>
      <c r="C58" s="418" t="n"/>
      <c r="D58" s="540" t="n">
        <v>0</v>
      </c>
      <c r="E58" s="540" t="n">
        <v>0</v>
      </c>
      <c r="F58" s="417" t="inlineStr">
        <is>
          <t>DC TK: 4892, 4899.</t>
        </is>
      </c>
      <c r="G58" s="415" t="inlineStr">
        <is>
          <t>Như trên</t>
        </is>
      </c>
      <c r="L58" s="541" t="n"/>
    </row>
    <row r="59" ht="14.25" customHeight="1" s="373">
      <c r="A59" s="415" t="n"/>
      <c r="B59" s="419" t="inlineStr">
        <is>
          <t>TỔNG TÀI SẢN CÓ</t>
        </is>
      </c>
      <c r="C59" s="418" t="n"/>
      <c r="D59" s="536">
        <f>D11+D14+D17+D20+D21+D28+D33+D39+D49+D52+D58</f>
        <v/>
      </c>
      <c r="E59" s="536" t="n">
        <v>588221260881</v>
      </c>
      <c r="F59" s="536">
        <f>F11+F14+F17+F20+F21+F28+F33+F39+F49+F52</f>
        <v/>
      </c>
      <c r="G59" s="536">
        <f>G11+G14+G17+G20+G21+G28+G33+G39+G49+G52</f>
        <v/>
      </c>
      <c r="J59" s="543" t="n"/>
      <c r="K59" s="541" t="n"/>
      <c r="L59" s="541" t="n"/>
    </row>
    <row r="60" ht="14.25" customHeight="1" s="373">
      <c r="A60" s="418" t="inlineStr">
        <is>
          <t>B</t>
        </is>
      </c>
      <c r="B60" s="419" t="inlineStr">
        <is>
          <t>NỢ PHẢI TRẢ VÀ VỐN CHỦ SỞ HỮU</t>
        </is>
      </c>
      <c r="C60" s="418" t="n"/>
      <c r="D60" s="547" t="n"/>
      <c r="E60" s="547" t="n"/>
      <c r="F60" s="417" t="n"/>
      <c r="G60" s="417" t="n"/>
      <c r="L60" s="541" t="n"/>
    </row>
    <row r="61" ht="14.25" customHeight="1" s="373">
      <c r="A61" s="418" t="inlineStr">
        <is>
          <t>I</t>
        </is>
      </c>
      <c r="B61" s="419" t="inlineStr">
        <is>
          <t>Các khoản nợ chính phủ và NHNN</t>
        </is>
      </c>
      <c r="C61" s="418" t="n"/>
      <c r="D61" s="536" t="n"/>
      <c r="E61" s="536" t="n"/>
      <c r="F61" s="417" t="inlineStr">
        <is>
          <t>DC TK: 401, 402, 403, 404</t>
        </is>
      </c>
      <c r="G61" s="417" t="inlineStr">
        <is>
          <t>Tổng các khoản mục tương ứng trên BCTC riêng lẻ và BCTC của Công ty trực thuộc</t>
        </is>
      </c>
      <c r="L61" s="541" t="n"/>
    </row>
    <row r="62" ht="14.25" customHeight="1" s="373">
      <c r="A62" s="418" t="inlineStr">
        <is>
          <t>II</t>
        </is>
      </c>
      <c r="B62" s="419" t="inlineStr">
        <is>
          <t>Tiền gửi và vay các TCTD khác</t>
        </is>
      </c>
      <c r="C62" s="418" t="n"/>
      <c r="D62" s="536" t="n">
        <v>0</v>
      </c>
      <c r="E62" s="536" t="n">
        <v>0</v>
      </c>
      <c r="F62" s="419" t="n"/>
      <c r="G62" s="419" t="n"/>
      <c r="L62" s="541" t="n"/>
    </row>
    <row r="63" ht="14.25" customHeight="1" s="373">
      <c r="A63" s="415" t="n">
        <v>1</v>
      </c>
      <c r="B63" s="417" t="inlineStr">
        <is>
          <t>Tiền gửi của các TCTD khác</t>
        </is>
      </c>
      <c r="C63" s="418" t="n"/>
      <c r="D63" s="540" t="n"/>
      <c r="E63" s="540" t="n"/>
      <c r="F63" s="417" t="inlineStr">
        <is>
          <t>DC TK: 411, 412, 413, 414</t>
        </is>
      </c>
      <c r="G63" s="415" t="inlineStr">
        <is>
          <t>như trên</t>
        </is>
      </c>
      <c r="L63" s="541" t="n"/>
    </row>
    <row r="64" ht="14.25" customHeight="1" s="373">
      <c r="A64" s="415" t="n">
        <v>2</v>
      </c>
      <c r="B64" s="417" t="inlineStr">
        <is>
          <t>Vay các TCTD khác</t>
        </is>
      </c>
      <c r="C64" s="418" t="n"/>
      <c r="D64" s="540" t="n">
        <v>0</v>
      </c>
      <c r="E64" s="540" t="n">
        <v>0</v>
      </c>
      <c r="F64" s="417" t="inlineStr">
        <is>
          <t>DC TK 415, 416, 417, 418, 419</t>
        </is>
      </c>
      <c r="G64" s="415" t="inlineStr">
        <is>
          <t>như trên</t>
        </is>
      </c>
      <c r="L64" s="541" t="n"/>
    </row>
    <row r="65" ht="14.25" customHeight="1" s="373">
      <c r="A65" s="418" t="inlineStr">
        <is>
          <t>III</t>
        </is>
      </c>
      <c r="B65" s="419" t="inlineStr">
        <is>
          <t>Tiền gửi của khách hàng</t>
        </is>
      </c>
      <c r="C65" s="418" t="n"/>
      <c r="D65" s="536" t="n"/>
      <c r="E65" s="536" t="n"/>
      <c r="F65" s="417" t="inlineStr">
        <is>
          <t>DC TK: 42</t>
        </is>
      </c>
      <c r="G65" s="415" t="inlineStr">
        <is>
          <t>như trên</t>
        </is>
      </c>
      <c r="L65" s="541" t="n"/>
    </row>
    <row r="66" ht="14.25" customHeight="1" s="373">
      <c r="A66" s="418" t="inlineStr">
        <is>
          <t>IV</t>
        </is>
      </c>
      <c r="B66" s="419" t="inlineStr">
        <is>
          <t>Các công cụ tài chính phái sinh và các khoản nợ tài chính khác</t>
        </is>
      </c>
      <c r="C66" s="418" t="n"/>
      <c r="D66" s="536" t="n"/>
      <c r="E66" s="548" t="n"/>
      <c r="F66" s="417" t="inlineStr">
        <is>
          <t>Chênh lệch DC TK 486 (nếu DC &gt; DN).</t>
        </is>
      </c>
      <c r="G66" s="415" t="inlineStr">
        <is>
          <t>như trên</t>
        </is>
      </c>
      <c r="L66" s="541" t="n"/>
    </row>
    <row r="67" ht="14.25" customHeight="1" s="373">
      <c r="A67" s="545" t="n"/>
      <c r="B67" s="545" t="n"/>
      <c r="C67" s="545" t="n"/>
      <c r="D67" s="545" t="n"/>
      <c r="E67" s="549" t="n"/>
      <c r="F67" s="545" t="n"/>
      <c r="G67" s="545" t="n"/>
      <c r="L67" s="541" t="n"/>
    </row>
    <row r="68" ht="14.25" customHeight="1" s="373">
      <c r="A68" s="418" t="inlineStr">
        <is>
          <t>V</t>
        </is>
      </c>
      <c r="B68" s="419" t="inlineStr">
        <is>
          <t>Vốn tài trợ, uỷ thác đầu tư, cho vay Công ty chịu rủi ro</t>
        </is>
      </c>
      <c r="C68" s="418" t="n"/>
      <c r="D68" s="536" t="n"/>
      <c r="E68" s="536" t="n"/>
      <c r="F68" s="417" t="inlineStr">
        <is>
          <t>DC TK: 441, 442</t>
        </is>
      </c>
      <c r="G68" s="415" t="inlineStr">
        <is>
          <t>như trên</t>
        </is>
      </c>
      <c r="L68" s="541" t="n"/>
    </row>
    <row r="69" ht="14.25" customHeight="1" s="373">
      <c r="A69" s="418" t="inlineStr">
        <is>
          <t>VI</t>
        </is>
      </c>
      <c r="B69" s="419" t="inlineStr">
        <is>
          <t>Phát hành giấy tờ có giá</t>
        </is>
      </c>
      <c r="C69" s="418" t="n"/>
      <c r="D69" s="536" t="n"/>
      <c r="E69" s="536" t="n"/>
      <c r="F69" s="417" t="inlineStr">
        <is>
          <t xml:space="preserve">Chênh lệch ( DC- DN) TK 43 </t>
        </is>
      </c>
      <c r="G69" s="415" t="inlineStr">
        <is>
          <t>như trên</t>
        </is>
      </c>
      <c r="L69" s="541" t="n"/>
    </row>
    <row r="70" ht="14.25" customHeight="1" s="373">
      <c r="A70" s="418" t="inlineStr">
        <is>
          <t>VII</t>
        </is>
      </c>
      <c r="B70" s="419" t="inlineStr">
        <is>
          <t xml:space="preserve">Các khoản nợ khác </t>
        </is>
      </c>
      <c r="C70" s="418" t="inlineStr">
        <is>
          <t>V.I</t>
        </is>
      </c>
      <c r="D70" s="536">
        <f>SUM(D71:D74)</f>
        <v/>
      </c>
      <c r="E70" s="536" t="n">
        <v>511124312757</v>
      </c>
      <c r="F70" s="419" t="n"/>
      <c r="G70" s="418" t="n"/>
      <c r="L70" s="541" t="n"/>
    </row>
    <row r="71" ht="14.25" customHeight="1" s="373">
      <c r="A71" s="415" t="n">
        <v>1</v>
      </c>
      <c r="B71" s="417" t="inlineStr">
        <is>
          <t>Các khoản lãi, phí phải trả</t>
        </is>
      </c>
      <c r="C71" s="418" t="n"/>
      <c r="D71" s="540">
        <f>'so lieu'!G35</f>
        <v/>
      </c>
      <c r="E71" s="540" t="n">
        <v>0</v>
      </c>
      <c r="F71" s="417" t="inlineStr">
        <is>
          <t>DC TK 491, 492, 493, 494, 496, 497</t>
        </is>
      </c>
      <c r="G71" s="415" t="inlineStr">
        <is>
          <t>như trên</t>
        </is>
      </c>
      <c r="L71" s="541" t="n"/>
    </row>
    <row r="72" ht="14.25" customHeight="1" s="373">
      <c r="A72" s="415" t="n">
        <v>2</v>
      </c>
      <c r="B72" s="417" t="inlineStr">
        <is>
          <t>Thuế TNDN hoãn lại phải trả</t>
        </is>
      </c>
      <c r="C72" s="418" t="n"/>
      <c r="D72" s="540" t="n"/>
      <c r="E72" s="540" t="n"/>
      <c r="F72" s="417" t="inlineStr">
        <is>
          <t>DC TK: 4535</t>
        </is>
      </c>
      <c r="G72" s="415" t="inlineStr">
        <is>
          <t>như trên</t>
        </is>
      </c>
      <c r="L72" s="541" t="n"/>
    </row>
    <row r="73" ht="14.25" customHeight="1" s="373">
      <c r="A73" s="56" t="n">
        <v>3</v>
      </c>
      <c r="B73" s="417" t="inlineStr">
        <is>
          <t xml:space="preserve">Các khoản phải trả và công nợ khác </t>
        </is>
      </c>
      <c r="C73" s="418" t="n"/>
      <c r="D73" s="540">
        <f>SUM('so lieu'!G23:G34)</f>
        <v/>
      </c>
      <c r="E73" s="540" t="n">
        <v>511124312757</v>
      </c>
      <c r="F73" s="417" t="inlineStr">
        <is>
          <t>-DC TK 45 trừ DC TK 4535</t>
        </is>
      </c>
      <c r="G73" s="415" t="inlineStr">
        <is>
          <t>như trên</t>
        </is>
      </c>
      <c r="H73" s="542">
        <f>D73-E73</f>
        <v/>
      </c>
      <c r="I73" s="550" t="n">
        <v>6588434988</v>
      </c>
      <c r="J73" s="551" t="n"/>
      <c r="L73" s="541" t="n"/>
    </row>
    <row r="74" ht="14.25" customHeight="1" s="373">
      <c r="A74" s="415" t="n">
        <v>4</v>
      </c>
      <c r="B74" s="417" t="inlineStr">
        <is>
          <t>Dự phòng rủi ro khác (Dự phòng cho công nợ tiềm ẩn và cam kết ngoại bảng)</t>
        </is>
      </c>
      <c r="C74" s="418" t="n"/>
      <c r="D74" s="540" t="n"/>
      <c r="E74" s="540" t="n"/>
      <c r="F74" s="417" t="inlineStr">
        <is>
          <t>DC TK  4891, 4895, 4896, 4899</t>
        </is>
      </c>
      <c r="G74" s="415" t="inlineStr">
        <is>
          <t>như trên</t>
        </is>
      </c>
      <c r="L74" s="541" t="n"/>
    </row>
    <row r="75" ht="14.25" customHeight="1" s="373">
      <c r="A75" s="415" t="n"/>
      <c r="B75" s="419" t="inlineStr">
        <is>
          <t>TỔNG NỢ PHẢI TRẢ</t>
        </is>
      </c>
      <c r="C75" s="418" t="n"/>
      <c r="D75" s="536">
        <f>D61+D62+D65+D66+D68+D69+D70</f>
        <v/>
      </c>
      <c r="E75" s="536" t="n">
        <v>511124312757</v>
      </c>
      <c r="F75" s="417" t="n"/>
      <c r="G75" s="417" t="n"/>
      <c r="L75" s="541" t="n"/>
    </row>
    <row r="76" ht="14.25" customHeight="1" s="373">
      <c r="A76" s="418" t="inlineStr">
        <is>
          <t>VIII</t>
        </is>
      </c>
      <c r="B76" s="419" t="inlineStr">
        <is>
          <t xml:space="preserve">Vốn chủ sở hữu </t>
        </is>
      </c>
      <c r="C76" s="418" t="inlineStr">
        <is>
          <t>V.3</t>
        </is>
      </c>
      <c r="D76" s="536">
        <f>D77+D87+D84</f>
        <v/>
      </c>
      <c r="E76" s="536" t="n">
        <v>77096948124</v>
      </c>
      <c r="F76" s="419" t="n"/>
      <c r="G76" s="419" t="n"/>
      <c r="L76" s="541" t="n"/>
    </row>
    <row r="77" ht="14.25" customHeight="1" s="373">
      <c r="A77" s="415" t="n">
        <v>1</v>
      </c>
      <c r="B77" s="417" t="inlineStr">
        <is>
          <t>Vốn của Công ty</t>
        </is>
      </c>
      <c r="C77" s="418" t="n"/>
      <c r="D77" s="540">
        <f>D78</f>
        <v/>
      </c>
      <c r="E77" s="540" t="n">
        <v>50000000000</v>
      </c>
      <c r="F77" s="417" t="n"/>
      <c r="G77" s="417" t="n"/>
      <c r="L77" s="541" t="n"/>
    </row>
    <row r="78" ht="14.25" customHeight="1" s="373">
      <c r="A78" s="415" t="inlineStr">
        <is>
          <t>a</t>
        </is>
      </c>
      <c r="B78" s="417" t="inlineStr">
        <is>
          <t>Vốn điều lệ</t>
        </is>
      </c>
      <c r="C78" s="418" t="n"/>
      <c r="D78" s="540">
        <f>'so lieu'!G36</f>
        <v/>
      </c>
      <c r="E78" s="540" t="n">
        <v>50000000000</v>
      </c>
      <c r="F78" s="417" t="inlineStr">
        <is>
          <t>DC TK 601</t>
        </is>
      </c>
      <c r="G78" s="415" t="inlineStr">
        <is>
          <t>Số trên BCTC Riêng lẻ</t>
        </is>
      </c>
      <c r="L78" s="541" t="n"/>
    </row>
    <row r="79" ht="14.25" customHeight="1" s="373">
      <c r="A79" s="415" t="inlineStr">
        <is>
          <t>b</t>
        </is>
      </c>
      <c r="B79" s="417" t="inlineStr">
        <is>
          <t>Vốn đầu tư XDCB</t>
        </is>
      </c>
      <c r="C79" s="418" t="n"/>
      <c r="D79" s="540" t="n"/>
      <c r="E79" s="540" t="n"/>
      <c r="F79" s="417" t="inlineStr">
        <is>
          <t>DC TK 602</t>
        </is>
      </c>
      <c r="G79" s="415" t="inlineStr">
        <is>
          <t>như trên</t>
        </is>
      </c>
      <c r="L79" s="541" t="n"/>
    </row>
    <row r="80" ht="14.25" customHeight="1" s="373">
      <c r="A80" s="415" t="inlineStr">
        <is>
          <t>c</t>
        </is>
      </c>
      <c r="B80" s="417" t="inlineStr">
        <is>
          <t>Thặng dư vốn cổ phần</t>
        </is>
      </c>
      <c r="C80" s="418" t="n"/>
      <c r="D80" s="540" t="n"/>
      <c r="E80" s="540" t="n"/>
      <c r="F80" s="417" t="inlineStr">
        <is>
          <t>DC TK 603( Nếu DN ghi bằng số âm)</t>
        </is>
      </c>
      <c r="G80" s="415" t="inlineStr">
        <is>
          <t>như trên</t>
        </is>
      </c>
      <c r="L80" s="541" t="n"/>
    </row>
    <row r="81" ht="14.25" customHeight="1" s="373">
      <c r="A81" s="415" t="inlineStr">
        <is>
          <t>d</t>
        </is>
      </c>
      <c r="B81" s="417" t="inlineStr">
        <is>
          <t>Cổ phiếu quỹ (*)</t>
        </is>
      </c>
      <c r="C81" s="418" t="n"/>
      <c r="D81" s="540" t="n"/>
      <c r="E81" s="540" t="n"/>
      <c r="F81" s="417" t="inlineStr">
        <is>
          <t>DN TK 604</t>
        </is>
      </c>
      <c r="G81" s="415" t="inlineStr">
        <is>
          <t>như trên</t>
        </is>
      </c>
      <c r="L81" s="541" t="n"/>
    </row>
    <row r="82" ht="14.25" customHeight="1" s="373">
      <c r="A82" s="415" t="inlineStr">
        <is>
          <t>e</t>
        </is>
      </c>
      <c r="B82" s="417" t="inlineStr">
        <is>
          <t>Cổ phiếu ưu đãi</t>
        </is>
      </c>
      <c r="C82" s="418" t="n"/>
      <c r="D82" s="540" t="n"/>
      <c r="E82" s="540" t="n"/>
      <c r="F82" s="417" t="inlineStr">
        <is>
          <t>DC TK 65</t>
        </is>
      </c>
      <c r="G82" s="415" t="inlineStr">
        <is>
          <t>như trên</t>
        </is>
      </c>
      <c r="L82" s="541" t="n"/>
    </row>
    <row r="83" ht="14.25" customHeight="1" s="373">
      <c r="A83" s="415" t="inlineStr">
        <is>
          <t>g</t>
        </is>
      </c>
      <c r="B83" s="417" t="inlineStr">
        <is>
          <t>Vốn khác</t>
        </is>
      </c>
      <c r="C83" s="418" t="n"/>
      <c r="D83" s="540" t="n"/>
      <c r="E83" s="540" t="n"/>
      <c r="F83" s="417" t="inlineStr">
        <is>
          <t>DC TK 609</t>
        </is>
      </c>
      <c r="G83" s="415" t="inlineStr">
        <is>
          <t>như trên</t>
        </is>
      </c>
      <c r="L83" s="541" t="n"/>
    </row>
    <row r="84" ht="14.25" customHeight="1" s="373">
      <c r="A84" s="415" t="n">
        <v>2</v>
      </c>
      <c r="B84" s="417" t="inlineStr">
        <is>
          <t>Quỹ của Công ty</t>
        </is>
      </c>
      <c r="C84" s="418" t="n"/>
      <c r="D84" s="540">
        <f>'so lieu'!G37+'so lieu'!G38</f>
        <v/>
      </c>
      <c r="E84" s="540" t="n">
        <v>9129514079</v>
      </c>
      <c r="F84" s="417" t="inlineStr">
        <is>
          <t>DC TK : 61, 62</t>
        </is>
      </c>
      <c r="G84" s="415" t="inlineStr">
        <is>
          <t>như trên</t>
        </is>
      </c>
      <c r="H84" s="39" t="n">
        <v>1162664998</v>
      </c>
      <c r="L84" s="541" t="n"/>
    </row>
    <row r="85" ht="14.25" customHeight="1" s="373">
      <c r="A85" s="415" t="n">
        <v>3</v>
      </c>
      <c r="B85" s="417" t="inlineStr">
        <is>
          <t>Chênh lệch tỷ giá hối đoái</t>
        </is>
      </c>
      <c r="C85" s="418" t="n"/>
      <c r="D85" s="540" t="n"/>
      <c r="E85" s="540" t="n"/>
      <c r="F85" s="59" t="inlineStr">
        <is>
          <t>Chênh lệch (DC -DN) TK:  63 (Nếu DN ghi bằng số âm)</t>
        </is>
      </c>
      <c r="G85" s="417" t="inlineStr">
        <is>
          <t>Giá trị khoản điều chỉnh tương ứng với phần điều chỉnh tương ứng của công ty mẹ trong công ty LD, LK khi vốn CSH (phần c/lệch tỷ giá hối đoái, c/l đánh giá lại tài sản) của Cty LD, LK thay đổi nhưng chưa được p/a trên BCKQKD của Cty LD, LK</t>
        </is>
      </c>
      <c r="H85" s="541">
        <f>D84+H84</f>
        <v/>
      </c>
      <c r="L85" s="541" t="n"/>
    </row>
    <row r="86" ht="14.25" customHeight="1" s="373">
      <c r="A86" s="415" t="n">
        <v>4</v>
      </c>
      <c r="B86" s="417" t="inlineStr">
        <is>
          <t>Chênh lệch đánh giá lại tài sản</t>
        </is>
      </c>
      <c r="C86" s="418" t="n"/>
      <c r="D86" s="540" t="n"/>
      <c r="E86" s="540" t="n"/>
      <c r="F86" s="417" t="inlineStr">
        <is>
          <t>DC TK: 64 (Nếu DN ghi bằng số âm)</t>
        </is>
      </c>
      <c r="G86" s="417" t="inlineStr">
        <is>
          <t>(Lấy số liệu từ hệ thống sổ kế toán phục vụ cho hợp nhất)</t>
        </is>
      </c>
      <c r="L86" s="541" t="n"/>
    </row>
    <row r="87" ht="14.25" customHeight="1" s="373">
      <c r="A87" s="415" t="n">
        <v>5</v>
      </c>
      <c r="B87" s="417" t="inlineStr">
        <is>
          <t>Lợi nhuận chưa phân phối/Lỗ luỹ kế</t>
        </is>
      </c>
      <c r="C87" s="418" t="n"/>
      <c r="D87" s="540">
        <f>D89+D88</f>
        <v/>
      </c>
      <c r="E87" s="540" t="n">
        <v>17967434045</v>
      </c>
      <c r="F87" s="417" t="n"/>
      <c r="G87" s="417" t="n"/>
      <c r="I87" s="550">
        <f>'B03'!L36</f>
        <v/>
      </c>
      <c r="L87" s="541" t="n"/>
    </row>
    <row r="88" ht="14.25" customHeight="1" s="373">
      <c r="A88" s="415" t="n"/>
      <c r="B88" s="417" t="inlineStr">
        <is>
          <t>a. Lợi nhuận năm nay</t>
        </is>
      </c>
      <c r="C88" s="418" t="n"/>
      <c r="D88" s="540">
        <f>'B03'!L36</f>
        <v/>
      </c>
      <c r="E88" s="540" t="n">
        <v>17967434045</v>
      </c>
      <c r="F88" s="60" t="n"/>
      <c r="G88" s="417" t="n"/>
      <c r="I88" s="542">
        <f>ROUND(I87*0.15,0)</f>
        <v/>
      </c>
      <c r="L88" s="541" t="n"/>
    </row>
    <row r="89" ht="14.25" customHeight="1" s="373">
      <c r="A89" s="415" t="n"/>
      <c r="B89" s="417" t="inlineStr">
        <is>
          <t>b. Lợi nhuận năm trước</t>
        </is>
      </c>
      <c r="C89" s="418" t="n"/>
      <c r="D89" s="540">
        <f>'so lieu'!G41</f>
        <v/>
      </c>
      <c r="E89" s="540" t="n">
        <v>0</v>
      </c>
      <c r="F89" s="60" t="n"/>
      <c r="G89" s="417" t="n"/>
      <c r="I89" s="542">
        <f>ROUND(I87*0.85,0)</f>
        <v/>
      </c>
      <c r="J89" s="552" t="n"/>
      <c r="L89" s="541" t="n"/>
    </row>
    <row r="90" ht="14.25" customHeight="1" s="373">
      <c r="A90" s="418" t="inlineStr">
        <is>
          <t>IX</t>
        </is>
      </c>
      <c r="B90" s="419" t="inlineStr">
        <is>
          <t>Lợi ích của cổ đông thiểu số</t>
        </is>
      </c>
      <c r="C90" s="418" t="n"/>
      <c r="D90" s="536" t="n"/>
      <c r="E90" s="536" t="n"/>
      <c r="F90" s="61" t="n"/>
      <c r="G90" s="417" t="inlineStr">
        <is>
          <t>Lợi nhuận thuần của Công ty trực thuộc nhân (x) với tỷ lệ (%) vốn góp của các cổ đông thiểu số tại Công ty trực thuộc</t>
        </is>
      </c>
      <c r="I90" s="542">
        <f>ROUND(I87*0.1,0)</f>
        <v/>
      </c>
      <c r="L90" s="541" t="n"/>
    </row>
    <row r="91" ht="48" customHeight="1" s="373">
      <c r="A91" s="418" t="n"/>
      <c r="B91" s="62" t="inlineStr">
        <is>
          <t>TỔNG NỢ PHẢI TRẢ, VỐN CHỦ SỞ HỮU VÀ LỢI ÍCH CỦA CỔ ĐÔNG THIỂU SỐ</t>
        </is>
      </c>
      <c r="C91" s="418" t="n"/>
      <c r="D91" s="536">
        <f>D75+D76</f>
        <v/>
      </c>
      <c r="E91" s="536" t="n">
        <v>588221260881</v>
      </c>
      <c r="H91" s="541">
        <f>D91-D59</f>
        <v/>
      </c>
      <c r="I91" s="541">
        <f>I87*0.05</f>
        <v/>
      </c>
      <c r="J91" s="553">
        <f>D91-D59</f>
        <v/>
      </c>
      <c r="K91" s="541" t="n"/>
      <c r="L91" s="541" t="n"/>
    </row>
    <row r="94" ht="15.75" customHeight="1" s="373" thickBot="1"/>
    <row r="95" ht="34.5" customHeight="1" s="373" thickBot="1">
      <c r="A95" s="554" t="inlineStr">
        <is>
          <t>STT</t>
        </is>
      </c>
      <c r="B95" s="554" t="inlineStr">
        <is>
          <t>Chỉ tiêu</t>
        </is>
      </c>
      <c r="C95" s="554" t="inlineStr">
        <is>
          <t>Thuyết minh</t>
        </is>
      </c>
      <c r="D95" s="554" t="inlineStr">
        <is>
          <t>Số cuối quý</t>
        </is>
      </c>
      <c r="E95" s="554" t="inlineStr">
        <is>
          <t>Số đầu năm</t>
        </is>
      </c>
      <c r="F95" s="253" t="inlineStr">
        <is>
          <t>Cách lấy số liệu từ HT TKKT NHNN(áp dụng cho Báo cáo THTC riêng lẻ)</t>
        </is>
      </c>
      <c r="G95" s="253" t="inlineStr">
        <is>
          <t>Cách lấy số liệu đối với Báo cáo THTC Hợp nhất</t>
        </is>
      </c>
    </row>
    <row r="96" ht="16.5" customHeight="1" s="373" thickBot="1">
      <c r="A96" s="254" t="n"/>
      <c r="B96" s="555" t="n">
        <v>-1</v>
      </c>
      <c r="C96" s="555" t="n">
        <v>-2</v>
      </c>
      <c r="D96" s="555" t="n">
        <v>-3</v>
      </c>
      <c r="E96" s="555" t="n">
        <v>-4</v>
      </c>
      <c r="F96" s="255" t="n">
        <v>-5</v>
      </c>
      <c r="G96" s="255" t="n">
        <v>-6</v>
      </c>
    </row>
    <row r="97" ht="15.75" customHeight="1" s="373">
      <c r="A97" s="556" t="n">
        <v>1</v>
      </c>
      <c r="B97" s="557" t="inlineStr">
        <is>
          <t xml:space="preserve">Bảo lãnh vay vốn </t>
        </is>
      </c>
      <c r="C97" s="558" t="inlineStr">
        <is>
          <t>VIII.39</t>
        </is>
      </c>
      <c r="D97" s="559" t="n">
        <v>0</v>
      </c>
      <c r="E97" s="559" t="n">
        <v>0</v>
      </c>
      <c r="F97" s="256" t="n"/>
      <c r="G97" s="557" t="inlineStr">
        <is>
          <t>Tổng các khoản mục tương ứng trên BCTC Riêng lẻ và BCTC của Công ty con</t>
        </is>
      </c>
    </row>
    <row r="98" ht="16.5" customHeight="1" s="373" thickBot="1">
      <c r="A98" s="560" t="n"/>
      <c r="B98" s="560" t="n"/>
      <c r="C98" s="560" t="n"/>
      <c r="D98" s="560" t="n"/>
      <c r="E98" s="560" t="n"/>
      <c r="F98" s="257" t="inlineStr">
        <is>
          <t xml:space="preserve">TK 921 </t>
        </is>
      </c>
      <c r="G98" s="560" t="n"/>
    </row>
    <row r="99" ht="32.25" customHeight="1" s="373" thickBot="1">
      <c r="A99" s="556" t="n">
        <v>2</v>
      </c>
      <c r="B99" s="257" t="inlineStr">
        <is>
          <t>Cam kết giao dịch hối đoái</t>
        </is>
      </c>
      <c r="C99" s="257" t="n"/>
      <c r="D99" s="561" t="n">
        <v>0</v>
      </c>
      <c r="E99" s="561" t="n">
        <v>0</v>
      </c>
      <c r="F99" s="257" t="inlineStr">
        <is>
          <t xml:space="preserve">TK 923 </t>
        </is>
      </c>
      <c r="G99" s="258" t="inlineStr">
        <is>
          <t>như trên</t>
        </is>
      </c>
    </row>
    <row r="100" ht="15" customHeight="1" s="373">
      <c r="A100" s="562" t="n"/>
      <c r="B100" s="557" t="inlineStr">
        <is>
          <t>Cam kết mua ngoại tệ</t>
        </is>
      </c>
      <c r="C100" s="557" t="n"/>
      <c r="D100" s="563" t="n">
        <v>0</v>
      </c>
      <c r="E100" s="563" t="n">
        <v>0</v>
      </c>
      <c r="F100" s="557" t="inlineStr">
        <is>
          <t>TK 9231, 9233, 9236</t>
        </is>
      </c>
      <c r="G100" s="556" t="inlineStr">
        <is>
          <t>như trên</t>
        </is>
      </c>
    </row>
    <row r="101" ht="15.75" customHeight="1" s="373" thickBot="1">
      <c r="A101" s="562" t="n"/>
      <c r="B101" s="560" t="n"/>
      <c r="C101" s="560" t="n"/>
      <c r="D101" s="560" t="n"/>
      <c r="E101" s="560" t="n"/>
      <c r="F101" s="560" t="n"/>
      <c r="G101" s="560" t="n"/>
    </row>
    <row r="102" ht="16.5" customHeight="1" s="373" thickBot="1">
      <c r="A102" s="562" t="n"/>
      <c r="B102" s="257" t="inlineStr">
        <is>
          <t>Cam kết bán ngoại tệ</t>
        </is>
      </c>
      <c r="C102" s="257" t="n"/>
      <c r="D102" s="561" t="n">
        <v>0</v>
      </c>
      <c r="E102" s="561" t="n">
        <v>0</v>
      </c>
      <c r="F102" s="257" t="inlineStr">
        <is>
          <t>TK 9232, 9234, 9237</t>
        </is>
      </c>
      <c r="G102" s="258" t="n"/>
    </row>
    <row r="103" ht="16.5" customHeight="1" s="373" thickBot="1">
      <c r="A103" s="562" t="n"/>
      <c r="B103" s="257" t="inlineStr">
        <is>
          <t>Cam kết giao dịch hoán đổi</t>
        </is>
      </c>
      <c r="C103" s="257" t="n"/>
      <c r="D103" s="561" t="n">
        <v>0</v>
      </c>
      <c r="E103" s="561" t="n">
        <v>0</v>
      </c>
      <c r="F103" s="257" t="inlineStr">
        <is>
          <t>TK 9235</t>
        </is>
      </c>
      <c r="G103" s="258" t="n"/>
    </row>
    <row r="104" ht="16.5" customHeight="1" s="373" thickBot="1">
      <c r="A104" s="560" t="n"/>
      <c r="B104" s="257" t="inlineStr">
        <is>
          <t>Cam kết giao dịch tương lai</t>
        </is>
      </c>
      <c r="C104" s="257" t="n"/>
      <c r="D104" s="561" t="n">
        <v>0</v>
      </c>
      <c r="E104" s="561" t="n">
        <v>0</v>
      </c>
      <c r="F104" s="257" t="inlineStr">
        <is>
          <t>TK 9238</t>
        </is>
      </c>
      <c r="G104" s="258" t="n"/>
    </row>
    <row r="105" ht="16.5" customHeight="1" s="373" thickBot="1">
      <c r="A105" s="426" t="n">
        <v>3</v>
      </c>
      <c r="B105" s="257" t="inlineStr">
        <is>
          <t>Cam kết cho vay không hủy ngang</t>
        </is>
      </c>
      <c r="C105" s="257" t="n"/>
      <c r="D105" s="561" t="n">
        <v>0</v>
      </c>
      <c r="E105" s="561" t="n">
        <v>0</v>
      </c>
      <c r="F105" s="257" t="inlineStr">
        <is>
          <t>TK 924</t>
        </is>
      </c>
      <c r="G105" s="258" t="n"/>
    </row>
    <row r="106" ht="16.5" customHeight="1" s="373" thickBot="1">
      <c r="A106" s="426" t="n">
        <v>4</v>
      </c>
      <c r="B106" s="257" t="inlineStr">
        <is>
          <t>Cam kết trong nghiệp vụ LC</t>
        </is>
      </c>
      <c r="C106" s="257" t="n"/>
      <c r="D106" s="561" t="n">
        <v>0</v>
      </c>
      <c r="E106" s="561" t="n">
        <v>0</v>
      </c>
      <c r="F106" s="257" t="inlineStr">
        <is>
          <t xml:space="preserve">TK 925 </t>
        </is>
      </c>
      <c r="G106" s="258" t="n"/>
    </row>
    <row r="107" ht="32.25" customHeight="1" s="373" thickBot="1">
      <c r="A107" s="426" t="n">
        <v>5</v>
      </c>
      <c r="B107" s="257" t="inlineStr">
        <is>
          <t xml:space="preserve">Bảo lãnh khác </t>
        </is>
      </c>
      <c r="C107" s="257" t="n"/>
      <c r="D107" s="561" t="n">
        <v>0</v>
      </c>
      <c r="E107" s="561" t="n">
        <v>0</v>
      </c>
      <c r="F107" s="257" t="inlineStr">
        <is>
          <t>TK 922, 926, 927, 928</t>
        </is>
      </c>
      <c r="G107" s="258" t="inlineStr">
        <is>
          <t>như trên</t>
        </is>
      </c>
    </row>
    <row r="108" ht="32.25" customHeight="1" s="373" thickBot="1">
      <c r="A108" s="426" t="n">
        <v>6</v>
      </c>
      <c r="B108" s="257" t="inlineStr">
        <is>
          <t>Cam kết khác</t>
        </is>
      </c>
      <c r="C108" s="257" t="n"/>
      <c r="D108" s="561" t="n">
        <v>0</v>
      </c>
      <c r="E108" s="561" t="n">
        <v>0</v>
      </c>
      <c r="F108" s="257" t="inlineStr">
        <is>
          <t xml:space="preserve">TK 929 </t>
        </is>
      </c>
      <c r="G108" s="258" t="inlineStr">
        <is>
          <t>như trên</t>
        </is>
      </c>
    </row>
    <row r="109" ht="32.25" customHeight="1" s="373" thickBot="1">
      <c r="A109" s="426" t="n">
        <v>7</v>
      </c>
      <c r="B109" s="257" t="inlineStr">
        <is>
          <t>Lãi cho vay và phí phải thu chưa thu được</t>
        </is>
      </c>
      <c r="C109" s="257" t="inlineStr">
        <is>
          <t>VIII.40a</t>
        </is>
      </c>
      <c r="D109" s="561" t="n">
        <v>0</v>
      </c>
      <c r="E109" s="561" t="n">
        <v>0</v>
      </c>
      <c r="F109" s="257" t="inlineStr">
        <is>
          <t>TK 94</t>
        </is>
      </c>
      <c r="G109" s="258" t="inlineStr">
        <is>
          <t>như trên</t>
        </is>
      </c>
    </row>
    <row r="110" ht="32.25" customHeight="1" s="373" thickBot="1">
      <c r="A110" s="426" t="n">
        <v>8</v>
      </c>
      <c r="B110" s="257" t="inlineStr">
        <is>
          <t>Nợ khó đòi đã xử lý</t>
        </is>
      </c>
      <c r="C110" s="257" t="inlineStr">
        <is>
          <t>VIII.40b</t>
        </is>
      </c>
      <c r="D110" s="561" t="n">
        <v>0</v>
      </c>
      <c r="E110" s="561" t="n">
        <v>0</v>
      </c>
      <c r="F110" s="257" t="inlineStr">
        <is>
          <t>TK 97</t>
        </is>
      </c>
      <c r="G110" s="258" t="inlineStr">
        <is>
          <t>như trên</t>
        </is>
      </c>
    </row>
    <row r="111" ht="23.25" customHeight="1" s="373" thickBot="1">
      <c r="A111" s="426" t="n">
        <v>9</v>
      </c>
      <c r="B111" s="257" t="inlineStr">
        <is>
          <t>Tài sản và chứng từ khác</t>
        </is>
      </c>
      <c r="C111" s="257" t="inlineStr">
        <is>
          <t>VIII.40c</t>
        </is>
      </c>
      <c r="D111" s="561" t="n">
        <v>0</v>
      </c>
      <c r="E111" s="561" t="n">
        <v>0</v>
      </c>
      <c r="F111" s="257" t="inlineStr">
        <is>
          <t>TK 991, 992, 993, 995, 999</t>
        </is>
      </c>
      <c r="G111" s="258" t="inlineStr">
        <is>
          <t>Tổng các khoản mục tương ứng trên Báo cáo THTC Riêng lẻ và Báo cáo THTC của công ty con</t>
        </is>
      </c>
    </row>
    <row r="113">
      <c r="A113" s="416" t="inlineStr">
        <is>
          <t>Lập bảng                           Kế toán trưởng                                         Tổng giám đốc</t>
        </is>
      </c>
    </row>
  </sheetData>
  <mergeCells count="36">
    <mergeCell ref="D22:D23"/>
    <mergeCell ref="G66:G67"/>
    <mergeCell ref="C29:C30"/>
    <mergeCell ref="A4:G4"/>
    <mergeCell ref="C97:C98"/>
    <mergeCell ref="G97:G98"/>
    <mergeCell ref="A66:A67"/>
    <mergeCell ref="B29:B30"/>
    <mergeCell ref="C22:C23"/>
    <mergeCell ref="C100:C101"/>
    <mergeCell ref="D2:E2"/>
    <mergeCell ref="D66:D67"/>
    <mergeCell ref="F22:F23"/>
    <mergeCell ref="F66:F67"/>
    <mergeCell ref="A99:A104"/>
    <mergeCell ref="D97:D98"/>
    <mergeCell ref="G29:G30"/>
    <mergeCell ref="F100:F101"/>
    <mergeCell ref="A22:A23"/>
    <mergeCell ref="C66:C67"/>
    <mergeCell ref="A6:G6"/>
    <mergeCell ref="A29:A30"/>
    <mergeCell ref="A97:A98"/>
    <mergeCell ref="G35:G36"/>
    <mergeCell ref="E97:E98"/>
    <mergeCell ref="D29:D30"/>
    <mergeCell ref="E100:E101"/>
    <mergeCell ref="G22:G23"/>
    <mergeCell ref="G100:G101"/>
    <mergeCell ref="B22:B23"/>
    <mergeCell ref="B66:B67"/>
    <mergeCell ref="D100:D101"/>
    <mergeCell ref="A113:G113"/>
    <mergeCell ref="B97:B98"/>
    <mergeCell ref="A5:G5"/>
    <mergeCell ref="B100:B101"/>
  </mergeCells>
  <pageMargins left="0.45" right="0.45" top="0.5" bottom="0.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codeName="Sheet2">
    <tabColor theme="3" tint="0.7999816888943144"/>
    <outlinePr summaryBelow="1" summaryRight="1"/>
    <pageSetUpPr/>
  </sheetPr>
  <dimension ref="A1:W39"/>
  <sheetViews>
    <sheetView zoomScale="85" zoomScaleNormal="85" workbookViewId="0">
      <selection activeCell="A2" sqref="A2"/>
    </sheetView>
  </sheetViews>
  <sheetFormatPr baseColWidth="8" defaultColWidth="23.42578125" defaultRowHeight="15"/>
  <cols>
    <col width="7.5703125" customWidth="1" style="80" min="1" max="1"/>
    <col width="15.28515625" customWidth="1" style="80" min="2" max="2"/>
    <col width="6.28515625" customWidth="1" style="80" min="3" max="3"/>
    <col width="21.7109375" bestFit="1" customWidth="1" style="80" min="4" max="4"/>
    <col width="16.42578125" bestFit="1" customWidth="1" style="80" min="5" max="5"/>
    <col hidden="1" width="16.85546875" customWidth="1" style="80" min="6" max="6"/>
    <col hidden="1" width="17.28515625" customWidth="1" style="80" min="7" max="7"/>
    <col hidden="1" width="16.42578125" customWidth="1" style="80" min="8" max="8"/>
    <col hidden="1" width="16.5703125" customWidth="1" style="80" min="9" max="10"/>
    <col hidden="1" width="16" customWidth="1" style="80" min="11" max="11"/>
    <col width="21.28515625" bestFit="1" customWidth="1" style="80" min="12" max="12"/>
    <col width="15" bestFit="1" customWidth="1" style="80" min="13" max="13"/>
    <col hidden="1" width="35.28515625" customWidth="1" style="373" min="14" max="14"/>
    <col hidden="1" width="62.28515625" customWidth="1" style="373" min="15" max="15"/>
    <col width="17.7109375" customWidth="1" style="373" min="16" max="16"/>
    <col hidden="1" width="15.28515625" customWidth="1" style="373" min="17" max="18"/>
    <col width="9.140625" customWidth="1" style="373" min="19" max="19"/>
    <col width="15.28515625" bestFit="1" customWidth="1" style="373" min="20" max="20"/>
    <col width="13.140625" customWidth="1" style="373" min="21" max="21"/>
    <col width="16.5703125" customWidth="1" style="373" min="22" max="23"/>
    <col width="9.140625" customWidth="1" style="373" min="24" max="258"/>
    <col width="6.140625" customWidth="1" style="373" min="259" max="259"/>
  </cols>
  <sheetData>
    <row r="1">
      <c r="A1" s="78" t="inlineStr">
        <is>
          <t>ĐƠN VỊ  BÁO CÁO: Ten cong ty</t>
        </is>
      </c>
      <c r="L1" s="81" t="inlineStr">
        <is>
          <t>Mẫu số : B03a/TCTD</t>
        </is>
      </c>
    </row>
    <row r="2" ht="16.5" customHeight="1" s="373">
      <c r="A2" s="82" t="inlineStr">
        <is>
          <t>Địa chỉ : Dia chi</t>
        </is>
      </c>
    </row>
    <row r="4" ht="16.5" customHeight="1" s="373">
      <c r="A4" s="441" t="inlineStr">
        <is>
          <t>BÁO CÁO KẾT QUẢ HOẠT ĐỘNG</t>
        </is>
      </c>
    </row>
    <row r="5" ht="16.5" customHeight="1" s="373">
      <c r="A5" s="441" t="inlineStr">
        <is>
          <t>(Dạng đầy đủ)</t>
        </is>
      </c>
    </row>
    <row r="6" ht="16.5" customHeight="1" s="373">
      <c r="A6" s="441" t="n"/>
    </row>
    <row r="7" ht="17.25" customHeight="1" s="373">
      <c r="A7" s="442" t="inlineStr">
        <is>
          <t>Năm 2026</t>
        </is>
      </c>
    </row>
    <row r="8" ht="17.25" customHeight="1" s="373">
      <c r="A8" s="442" t="inlineStr">
        <is>
          <t>Ngày 31/03/2026</t>
        </is>
      </c>
    </row>
    <row r="9" ht="17.25" customHeight="1" s="373">
      <c r="A9" s="442" t="n"/>
    </row>
    <row r="10" ht="15.75" customHeight="1" s="373" thickBot="1"/>
    <row r="11" ht="33" customHeight="1" s="373">
      <c r="A11" s="443" t="inlineStr">
        <is>
          <t>TT</t>
        </is>
      </c>
      <c r="B11" s="443" t="inlineStr">
        <is>
          <t>Chỉ tiêu</t>
        </is>
      </c>
      <c r="C11" s="443" t="inlineStr">
        <is>
          <t>TM</t>
        </is>
      </c>
      <c r="D11" s="418" t="inlineStr">
        <is>
          <t>Quý I</t>
        </is>
      </c>
      <c r="E11" s="564" t="n"/>
      <c r="F11" s="418" t="inlineStr">
        <is>
          <t>Quý III</t>
        </is>
      </c>
      <c r="G11" s="564" t="n"/>
      <c r="H11" s="418" t="inlineStr">
        <is>
          <t>Quý II</t>
        </is>
      </c>
      <c r="I11" s="564" t="n"/>
      <c r="J11" s="418" t="inlineStr">
        <is>
          <t>Quý I</t>
        </is>
      </c>
      <c r="K11" s="564" t="n"/>
      <c r="L11" s="418" t="inlineStr">
        <is>
          <t>Luỹ kế từ đầu năm đến cuối quý này</t>
        </is>
      </c>
      <c r="M11" s="564" t="n"/>
      <c r="N11" s="565" t="inlineStr">
        <is>
          <t>Cách lấy số liệu từ BCĐTKKT  (áp dụng cho Báo cáo KQHĐKD</t>
        </is>
      </c>
      <c r="O11" s="566" t="inlineStr">
        <is>
          <t>Cách lấy số liệu đối với Báo cáo KQHĐKD hợp nhất</t>
        </is>
      </c>
    </row>
    <row r="12" ht="15.75" customHeight="1" s="373" thickBot="1">
      <c r="A12" s="545" t="n"/>
      <c r="B12" s="545" t="n"/>
      <c r="C12" s="545" t="n"/>
      <c r="D12" s="418" t="inlineStr">
        <is>
          <t>Năm nay</t>
        </is>
      </c>
      <c r="E12" s="418" t="inlineStr">
        <is>
          <t>Năm trước</t>
        </is>
      </c>
      <c r="F12" s="418" t="n">
        <v>2021</v>
      </c>
      <c r="G12" s="418" t="n">
        <v>2020</v>
      </c>
      <c r="H12" s="418" t="n">
        <v>2021</v>
      </c>
      <c r="I12" s="418" t="n">
        <v>2020</v>
      </c>
      <c r="J12" s="418" t="n">
        <v>2021</v>
      </c>
      <c r="K12" s="418" t="n">
        <v>2020</v>
      </c>
      <c r="L12" s="418" t="inlineStr">
        <is>
          <t>Năm nay</t>
        </is>
      </c>
      <c r="M12" s="418" t="inlineStr">
        <is>
          <t>Năm trước</t>
        </is>
      </c>
      <c r="N12" s="567" t="n"/>
      <c r="O12" s="560" t="n"/>
    </row>
    <row r="13" ht="16.5" customHeight="1" s="373" thickBot="1">
      <c r="A13" s="300" t="n"/>
      <c r="B13" s="568" t="n">
        <v>-1</v>
      </c>
      <c r="C13" s="568" t="n">
        <v>-2</v>
      </c>
      <c r="D13" s="569" t="n">
        <v>-3</v>
      </c>
      <c r="E13" s="569" t="n">
        <v>-4</v>
      </c>
      <c r="F13" s="569" t="n">
        <v>-3</v>
      </c>
      <c r="G13" s="569" t="n">
        <v>-4</v>
      </c>
      <c r="H13" s="569" t="n">
        <v>-3</v>
      </c>
      <c r="I13" s="569" t="n">
        <v>-4</v>
      </c>
      <c r="J13" s="569" t="n">
        <v>-3</v>
      </c>
      <c r="K13" s="569" t="n">
        <v>-4</v>
      </c>
      <c r="L13" s="569" t="n">
        <v>-3</v>
      </c>
      <c r="M13" s="569" t="n">
        <v>-4</v>
      </c>
      <c r="N13" s="1" t="n">
        <v>-7</v>
      </c>
      <c r="O13" s="1" t="n">
        <v>-8</v>
      </c>
    </row>
    <row r="14" ht="48" customHeight="1" s="373" thickBot="1">
      <c r="A14" s="87" t="n">
        <v>1</v>
      </c>
      <c r="B14" s="88" t="inlineStr">
        <is>
          <t>Thu nhập lãi và các khoản thu nhập tương tự</t>
        </is>
      </c>
      <c r="C14" s="87" t="n"/>
      <c r="D14" s="540">
        <f>'so lieu'!E42-'so lieu'!D42</f>
        <v/>
      </c>
      <c r="E14" s="540" t="n">
        <v>762740128</v>
      </c>
      <c r="F14" s="540" t="n"/>
      <c r="G14" s="540" t="n"/>
      <c r="H14" s="540" t="n"/>
      <c r="I14" s="540" t="n"/>
      <c r="J14" s="540" t="n"/>
      <c r="K14" s="540" t="n"/>
      <c r="L14" s="540">
        <f>F14+H14+J14+D14</f>
        <v/>
      </c>
      <c r="M14" s="540">
        <f>G14+I14+K14+E14</f>
        <v/>
      </c>
      <c r="N14" s="2" t="inlineStr">
        <is>
          <t>TK 701, 702, 7030.01,705, 709.</t>
        </is>
      </c>
      <c r="O14" s="3" t="inlineStr">
        <is>
          <t>Tổng các khoản mục tương ứng trên BCTC Riêng lẻ và BCTC của Công ty trực thuộc</t>
        </is>
      </c>
      <c r="P14" s="570" t="n"/>
      <c r="Q14" t="n">
        <v>2850907902</v>
      </c>
      <c r="R14" s="570">
        <f>L14-Q14</f>
        <v/>
      </c>
      <c r="W14" s="570" t="n"/>
    </row>
    <row r="15" ht="47.25" customHeight="1" s="373">
      <c r="A15" s="87" t="n">
        <v>2</v>
      </c>
      <c r="B15" s="88" t="inlineStr">
        <is>
          <t>Chi phí lãi và các chi phí tương tự</t>
        </is>
      </c>
      <c r="C15" s="87" t="n"/>
      <c r="D15" s="540" t="n"/>
      <c r="E15" s="540" t="n"/>
      <c r="F15" s="540" t="n"/>
      <c r="G15" s="540" t="n"/>
      <c r="H15" s="540" t="n"/>
      <c r="I15" s="540" t="n"/>
      <c r="J15" s="540" t="n"/>
      <c r="K15" s="540" t="n"/>
      <c r="L15" s="540">
        <f>F15+H15+J15+D15</f>
        <v/>
      </c>
      <c r="M15" s="540">
        <f>G15+I15+K15+E15</f>
        <v/>
      </c>
      <c r="N15" s="2" t="inlineStr">
        <is>
          <t>TK 801, 802, 803, 805, 809</t>
        </is>
      </c>
      <c r="O15" s="4" t="inlineStr">
        <is>
          <t>như trên</t>
        </is>
      </c>
      <c r="P15" s="570" t="n"/>
      <c r="Q15" s="570" t="n">
        <v>0</v>
      </c>
      <c r="R15" s="570">
        <f>L15-Q15</f>
        <v/>
      </c>
    </row>
    <row r="16" ht="32.25" customFormat="1" customHeight="1" s="16" thickBot="1">
      <c r="A16" s="443" t="inlineStr">
        <is>
          <t>I</t>
        </is>
      </c>
      <c r="B16" s="90" t="inlineStr">
        <is>
          <t>Thu nhập lãi thuần</t>
        </is>
      </c>
      <c r="C16" s="443" t="inlineStr">
        <is>
          <t>VI 1</t>
        </is>
      </c>
      <c r="D16" s="536">
        <f>D14-D15</f>
        <v/>
      </c>
      <c r="E16" s="536" t="n">
        <v>762740128</v>
      </c>
      <c r="F16" s="536" t="n"/>
      <c r="G16" s="536" t="n"/>
      <c r="H16" s="536" t="n"/>
      <c r="I16" s="536" t="n"/>
      <c r="J16" s="536" t="n"/>
      <c r="K16" s="536" t="n"/>
      <c r="L16" s="536">
        <f>L14-L15</f>
        <v/>
      </c>
      <c r="M16" s="536">
        <f>G16+I16+K16+E16</f>
        <v/>
      </c>
      <c r="N16" s="5" t="inlineStr">
        <is>
          <t>(1 – 2)</t>
        </is>
      </c>
      <c r="O16" s="6" t="n"/>
      <c r="P16" s="571" t="n"/>
      <c r="Q16" s="570" t="n">
        <v>2850907902</v>
      </c>
      <c r="R16" s="570">
        <f>L16-Q16</f>
        <v/>
      </c>
      <c r="T16" s="225" t="n"/>
      <c r="W16" s="570" t="n"/>
    </row>
    <row r="17" ht="48" customHeight="1" s="373" thickBot="1">
      <c r="A17" s="87" t="n">
        <v>3</v>
      </c>
      <c r="B17" s="88" t="inlineStr">
        <is>
          <t>Thu nhập từ hoạt động dịch vụ</t>
        </is>
      </c>
      <c r="C17" s="443" t="n"/>
      <c r="D17" s="540">
        <f>'so lieu'!E43</f>
        <v/>
      </c>
      <c r="E17" s="540" t="n">
        <v>11184553194</v>
      </c>
      <c r="F17" s="540" t="n"/>
      <c r="G17" s="540" t="n"/>
      <c r="H17" s="540" t="n"/>
      <c r="I17" s="540" t="n"/>
      <c r="J17" s="540" t="n"/>
      <c r="K17" s="540" t="n"/>
      <c r="L17" s="540">
        <f>F17+H17+J17+D17</f>
        <v/>
      </c>
      <c r="M17" s="540">
        <f>G17+I17+K17+E17</f>
        <v/>
      </c>
      <c r="N17" s="2" t="inlineStr">
        <is>
          <t>DC TK: 71</t>
        </is>
      </c>
      <c r="O17" s="4" t="inlineStr">
        <is>
          <t>như trên</t>
        </is>
      </c>
      <c r="P17" s="570" t="n"/>
      <c r="Q17" s="571" t="n">
        <v>24340016593</v>
      </c>
      <c r="R17" s="570">
        <f>L17-Q17</f>
        <v/>
      </c>
      <c r="T17" s="572">
        <f>L14+L20</f>
        <v/>
      </c>
      <c r="W17" s="570" t="n"/>
    </row>
    <row r="18" ht="31.5" customHeight="1" s="373">
      <c r="A18" s="87" t="n">
        <v>4</v>
      </c>
      <c r="B18" s="88" t="inlineStr">
        <is>
          <t>Chi phí hoạt động dịch vụ</t>
        </is>
      </c>
      <c r="C18" s="443" t="n"/>
      <c r="D18" s="540">
        <f>'so lieu'!D47-'so lieu'!E47</f>
        <v/>
      </c>
      <c r="E18" s="540" t="n">
        <v>2034499321</v>
      </c>
      <c r="F18" s="540" t="n"/>
      <c r="G18" s="540" t="n"/>
      <c r="H18" s="540" t="n"/>
      <c r="I18" s="540" t="n"/>
      <c r="J18" s="540" t="n"/>
      <c r="K18" s="540" t="n"/>
      <c r="L18" s="540">
        <f>F18+H18+J18+D18</f>
        <v/>
      </c>
      <c r="M18" s="540">
        <f>G18+I18+K18+E18</f>
        <v/>
      </c>
      <c r="N18" s="2" t="inlineStr">
        <is>
          <t>DN TK: 81</t>
        </is>
      </c>
      <c r="O18" s="4" t="inlineStr">
        <is>
          <t>như trên</t>
        </is>
      </c>
      <c r="P18" s="570" t="n"/>
      <c r="Q18" s="570" t="n">
        <v>13013617811</v>
      </c>
      <c r="R18" s="570">
        <f>L18-Q18</f>
        <v/>
      </c>
      <c r="T18" s="274" t="n"/>
      <c r="W18" s="570" t="n"/>
    </row>
    <row r="19" ht="48" customFormat="1" customHeight="1" s="16" thickBot="1">
      <c r="A19" s="443" t="inlineStr">
        <is>
          <t>II</t>
        </is>
      </c>
      <c r="B19" s="90" t="inlineStr">
        <is>
          <t>Lãi/lỗ thuần từ hoạt động dịch vụ</t>
        </is>
      </c>
      <c r="C19" s="443" t="n"/>
      <c r="D19" s="536">
        <f>D17-D18</f>
        <v/>
      </c>
      <c r="E19" s="536" t="n">
        <v>9150053873</v>
      </c>
      <c r="F19" s="536" t="n"/>
      <c r="G19" s="536" t="n"/>
      <c r="H19" s="536" t="n"/>
      <c r="I19" s="536" t="n"/>
      <c r="J19" s="536" t="n"/>
      <c r="K19" s="536" t="n"/>
      <c r="L19" s="536">
        <f>F19+H19+J19+D19</f>
        <v/>
      </c>
      <c r="M19" s="536">
        <f>G19+I19+K19+E19</f>
        <v/>
      </c>
      <c r="N19" s="5" t="inlineStr">
        <is>
          <t>(3 – 4)</t>
        </is>
      </c>
      <c r="O19" s="6" t="n"/>
      <c r="P19" s="571" t="n"/>
      <c r="Q19" s="570" t="n">
        <v>11326398782</v>
      </c>
      <c r="R19" s="570">
        <f>L19-Q19</f>
        <v/>
      </c>
      <c r="W19" s="570" t="n"/>
    </row>
    <row r="20" ht="63" customHeight="1" s="373">
      <c r="A20" s="443" t="inlineStr">
        <is>
          <t>III</t>
        </is>
      </c>
      <c r="B20" s="90" t="inlineStr">
        <is>
          <t>Lãi/lỗ thuần từ hoạt động kinh doanh ngoại hối</t>
        </is>
      </c>
      <c r="C20" s="443" t="n"/>
      <c r="D20" s="536">
        <f>'so lieu'!E44-'so lieu'!D44-'so lieu'!D48</f>
        <v/>
      </c>
      <c r="E20" s="536" t="n">
        <v>456710901</v>
      </c>
      <c r="F20" s="536" t="n"/>
      <c r="G20" s="536" t="n"/>
      <c r="H20" s="536" t="n"/>
      <c r="I20" s="536" t="n"/>
      <c r="J20" s="536" t="n"/>
      <c r="K20" s="536" t="n"/>
      <c r="L20" s="536">
        <f>F20+H20+J20+D20</f>
        <v/>
      </c>
      <c r="M20" s="536">
        <f>G20+I20+K20+E20</f>
        <v/>
      </c>
      <c r="N20" s="2" t="inlineStr">
        <is>
          <t>DC TK 72 - DN TK 82 (nếu kết quả âm thì ghi âm (-)</t>
        </is>
      </c>
      <c r="O20" s="4" t="inlineStr">
        <is>
          <t>như trên</t>
        </is>
      </c>
      <c r="P20" s="570" t="n"/>
      <c r="Q20" s="571" t="n">
        <v>194437976</v>
      </c>
      <c r="R20" s="570">
        <f>L20-Q20</f>
        <v/>
      </c>
      <c r="W20" s="570" t="n"/>
    </row>
    <row r="21" ht="27" customHeight="1" s="373" thickBot="1">
      <c r="A21" s="443" t="inlineStr">
        <is>
          <t>IV</t>
        </is>
      </c>
      <c r="B21" s="90" t="inlineStr">
        <is>
          <t>Lãi/lỗ thuần từ mua bán chứng khoán kinh doanh</t>
        </is>
      </c>
      <c r="C21" s="443" t="n"/>
      <c r="D21" s="536" t="n"/>
      <c r="E21" s="536" t="n"/>
      <c r="F21" s="536" t="n"/>
      <c r="G21" s="536" t="n"/>
      <c r="H21" s="536" t="n"/>
      <c r="I21" s="536" t="n"/>
      <c r="J21" s="536" t="n"/>
      <c r="K21" s="536" t="n"/>
      <c r="L21" s="536">
        <f>F21+H21+J21+D21</f>
        <v/>
      </c>
      <c r="M21" s="536">
        <f>G21+I21+K21+E21</f>
        <v/>
      </c>
      <c r="N21" s="7" t="inlineStr">
        <is>
          <t>Ch lệch thu chi giữa số dư TK 741 và TK 841 (phần của chứng khoán kinh doanh) trừ đi (-) DNTK 8823.01(Nếu kết quả âm thì ghi (-)</t>
        </is>
      </c>
      <c r="O21" s="8" t="inlineStr">
        <is>
          <t>như trên</t>
        </is>
      </c>
      <c r="P21" s="570" t="n"/>
      <c r="Q21" s="570" t="n"/>
      <c r="R21" s="570">
        <f>L21-Q21</f>
        <v/>
      </c>
    </row>
    <row r="22" ht="31.5" customHeight="1" s="373">
      <c r="A22" s="443" t="inlineStr">
        <is>
          <t>V</t>
        </is>
      </c>
      <c r="B22" s="90" t="inlineStr">
        <is>
          <t>Lãi/lỗ thuần từ mua bán chứng khoán đầu tư</t>
        </is>
      </c>
      <c r="C22" s="443" t="n"/>
      <c r="D22" s="536" t="n"/>
      <c r="E22" s="536" t="n"/>
      <c r="F22" s="536" t="n"/>
      <c r="G22" s="536" t="n"/>
      <c r="H22" s="536" t="n"/>
      <c r="I22" s="536" t="n"/>
      <c r="J22" s="536" t="n"/>
      <c r="K22" s="536" t="n"/>
      <c r="L22" s="536">
        <f>F22+H22+J22+D22</f>
        <v/>
      </c>
      <c r="M22" s="536">
        <f>G22+I22+K22+E22</f>
        <v/>
      </c>
      <c r="N22" s="9" t="inlineStr">
        <is>
          <t>Chênh lệch thu chi giữa số dư TK 741, 841 (phần của CK đầu tư sẵn sàng để bán và CK đầu tư giữ đến ngày đáo hạn) trừ  (Nếu kết quả âm thì ghi  (-)đi (-) DN TK (8823.02 + 8823.03)</t>
        </is>
      </c>
      <c r="O22" s="4" t="inlineStr">
        <is>
          <t>như trên</t>
        </is>
      </c>
      <c r="P22" s="570" t="n"/>
      <c r="Q22" s="570" t="n"/>
      <c r="R22" s="570">
        <f>L22-Q22</f>
        <v/>
      </c>
    </row>
    <row r="23" ht="51.75" customHeight="1" s="373" thickBot="1">
      <c r="A23" s="87" t="n">
        <v>5</v>
      </c>
      <c r="B23" s="88" t="inlineStr">
        <is>
          <t>Thu nhập từ hoạt động khác</t>
        </is>
      </c>
      <c r="C23" s="443" t="n"/>
      <c r="D23" s="540">
        <f>'so lieu'!E45+'so lieu'!E46-'so lieu'!D46</f>
        <v/>
      </c>
      <c r="E23" s="540" t="n">
        <v>0</v>
      </c>
      <c r="F23" s="540" t="n"/>
      <c r="G23" s="540" t="n"/>
      <c r="H23" s="540" t="n"/>
      <c r="I23" s="540" t="n"/>
      <c r="J23" s="540" t="n"/>
      <c r="K23" s="540" t="n"/>
      <c r="L23" s="540">
        <f>F23+H23+J23+D23</f>
        <v/>
      </c>
      <c r="M23" s="540">
        <f>G23+I23+K23+E23</f>
        <v/>
      </c>
      <c r="N23" s="10" t="inlineStr">
        <is>
          <t>TK 742, 748, 749, 79 (không bao gồm phần hoàn nhập dự phòng giảm giá chứng khoán hạch toán vào thu nhập khác)</t>
        </is>
      </c>
      <c r="O23" s="8" t="inlineStr">
        <is>
          <t>như trên</t>
        </is>
      </c>
      <c r="P23" s="570" t="n"/>
      <c r="Q23" s="570" t="n">
        <v>3500000</v>
      </c>
      <c r="R23" s="570">
        <f>L23-Q23</f>
        <v/>
      </c>
      <c r="W23" s="570" t="n"/>
    </row>
    <row r="24" ht="31.5" customHeight="1" s="373">
      <c r="A24" s="87" t="n">
        <v>6</v>
      </c>
      <c r="B24" s="88" t="inlineStr">
        <is>
          <t>Chi phí hoạt động khác</t>
        </is>
      </c>
      <c r="C24" s="443" t="n"/>
      <c r="D24" s="540">
        <f>'so lieu'!D84-'so lieu'!E84+'so lieu'!D52-'so lieu'!E52</f>
        <v/>
      </c>
      <c r="E24" s="540" t="n">
        <v>105250</v>
      </c>
      <c r="F24" s="540" t="n"/>
      <c r="G24" s="540" t="n"/>
      <c r="H24" s="540" t="n"/>
      <c r="I24" s="540" t="n"/>
      <c r="J24" s="540" t="n"/>
      <c r="K24" s="540" t="n"/>
      <c r="L24" s="540">
        <f>F24+H24+J24+D24</f>
        <v/>
      </c>
      <c r="M24" s="540">
        <f>G24+I24+K24+E24</f>
        <v/>
      </c>
      <c r="N24" s="2" t="inlineStr">
        <is>
          <t xml:space="preserve">DN TK 842, 848, 849, 89 </t>
        </is>
      </c>
      <c r="O24" s="4" t="inlineStr">
        <is>
          <t>như trên</t>
        </is>
      </c>
      <c r="P24" s="570" t="n"/>
      <c r="Q24" s="570" t="n">
        <v>69492</v>
      </c>
      <c r="R24" s="570">
        <f>L24-Q24</f>
        <v/>
      </c>
      <c r="W24" s="570" t="n"/>
    </row>
    <row r="25" ht="48" customHeight="1" s="373" thickBot="1">
      <c r="A25" s="443" t="inlineStr">
        <is>
          <t>VI</t>
        </is>
      </c>
      <c r="B25" s="90" t="inlineStr">
        <is>
          <t>Lãi/lỗ thuần từ hoạt động khác</t>
        </is>
      </c>
      <c r="C25" s="443" t="n"/>
      <c r="D25" s="536">
        <f>D23-D24</f>
        <v/>
      </c>
      <c r="E25" s="536" t="n">
        <v>-105250</v>
      </c>
      <c r="F25" s="536" t="n"/>
      <c r="G25" s="536" t="n"/>
      <c r="H25" s="536" t="n"/>
      <c r="I25" s="536" t="n"/>
      <c r="J25" s="536" t="n"/>
      <c r="K25" s="536" t="n"/>
      <c r="L25" s="536">
        <f>F25+H25+J25+D25</f>
        <v/>
      </c>
      <c r="M25" s="536">
        <f>G25+I25+K25+E25</f>
        <v/>
      </c>
      <c r="N25" s="5" t="inlineStr">
        <is>
          <t>(5 – 6)</t>
        </is>
      </c>
      <c r="O25" s="6" t="n"/>
      <c r="P25" s="570" t="n"/>
      <c r="Q25" s="570" t="n">
        <v>3430508</v>
      </c>
      <c r="R25" s="570">
        <f>L25-Q25</f>
        <v/>
      </c>
    </row>
    <row r="26" ht="47.25" customHeight="1" s="373">
      <c r="A26" s="443" t="inlineStr">
        <is>
          <t>VII</t>
        </is>
      </c>
      <c r="B26" s="90" t="inlineStr">
        <is>
          <t>Thu nhập từ góp vốn mua cổ phần</t>
        </is>
      </c>
      <c r="C26" s="443" t="n"/>
      <c r="D26" s="536" t="n"/>
      <c r="E26" s="536" t="n"/>
      <c r="F26" s="536" t="n"/>
      <c r="G26" s="536" t="n"/>
      <c r="H26" s="536" t="n"/>
      <c r="I26" s="536" t="n"/>
      <c r="J26" s="536" t="n"/>
      <c r="K26" s="536" t="n"/>
      <c r="L26" s="536">
        <f>F26+H26+J26+D26</f>
        <v/>
      </c>
      <c r="M26" s="536">
        <f>G26+I26+K26+E26</f>
        <v/>
      </c>
      <c r="N26" s="2" t="inlineStr">
        <is>
          <t>DC TK 7030.02, 704, 78</t>
        </is>
      </c>
      <c r="O26" s="11" t="inlineStr">
        <is>
          <t>như trên</t>
        </is>
      </c>
      <c r="P26" s="570" t="n"/>
      <c r="Q26" s="570" t="n"/>
      <c r="R26" s="570">
        <f>L26-Q26</f>
        <v/>
      </c>
    </row>
    <row r="27" ht="63.75" customHeight="1" s="373" thickBot="1">
      <c r="A27" s="443" t="inlineStr">
        <is>
          <t>VIII</t>
        </is>
      </c>
      <c r="B27" s="90" t="inlineStr">
        <is>
          <t>Chi phí hoạt động</t>
        </is>
      </c>
      <c r="C27" s="443" t="inlineStr">
        <is>
          <t>VI 2</t>
        </is>
      </c>
      <c r="D27" s="536">
        <f>'so lieu'!H48</f>
        <v/>
      </c>
      <c r="E27" s="536" t="n">
        <v>5675453656</v>
      </c>
      <c r="F27" s="536" t="n"/>
      <c r="G27" s="536" t="n"/>
      <c r="H27" s="536" t="n"/>
      <c r="I27" s="536" t="n"/>
      <c r="J27" s="536" t="n"/>
      <c r="K27" s="536" t="n"/>
      <c r="L27" s="536">
        <f>F27+H27+J27+D27</f>
        <v/>
      </c>
      <c r="M27" s="536">
        <f>G27+I27+K27+E27</f>
        <v/>
      </c>
      <c r="N27" s="10" t="inlineStr">
        <is>
          <t>DN TK 831, 832, 85, 86, 87,  8821, 8824, 8825, 8826, 8827, (Dự phòng cam kết đưa ra không thuộc hoạt động tín dụng), 8829, 883</t>
        </is>
      </c>
      <c r="O27" s="12" t="inlineStr">
        <is>
          <t>như trên</t>
        </is>
      </c>
      <c r="P27" s="298" t="n"/>
      <c r="Q27" s="570" t="n"/>
      <c r="R27" s="570" t="n"/>
      <c r="S27" s="570" t="n"/>
    </row>
    <row r="28" ht="60.75" customHeight="1" s="373" thickBot="1">
      <c r="A28" s="443" t="inlineStr">
        <is>
          <t>IX</t>
        </is>
      </c>
      <c r="B28" s="90" t="inlineStr">
        <is>
          <t>Lợi nhuận thuần từ hoạt động kinh doanh trước chi phí dự phòng rủi ro tín dụng</t>
        </is>
      </c>
      <c r="C28" s="443" t="n"/>
      <c r="D28" s="536">
        <f>D16+D19+D20+D21+D22+D25+D26-D27</f>
        <v/>
      </c>
      <c r="E28" s="536" t="n">
        <v>4693945996</v>
      </c>
      <c r="F28" s="536" t="n"/>
      <c r="G28" s="536" t="n"/>
      <c r="H28" s="536" t="n"/>
      <c r="I28" s="536" t="n"/>
      <c r="J28" s="536" t="n"/>
      <c r="K28" s="536" t="n"/>
      <c r="L28" s="536">
        <f>F28+H28+J28+D28</f>
        <v/>
      </c>
      <c r="M28" s="536">
        <f>G28+I28+K28+E28</f>
        <v/>
      </c>
      <c r="N28" s="13" t="inlineStr">
        <is>
          <t>(I + II + III + IV + V + VI + VII – VIII)</t>
        </is>
      </c>
      <c r="O28" s="14" t="n"/>
      <c r="P28" s="570" t="n"/>
      <c r="Q28" s="570" t="n">
        <v>8685258311</v>
      </c>
      <c r="R28" s="570">
        <f>L28-Q28</f>
        <v/>
      </c>
    </row>
    <row r="29" ht="47.25" customHeight="1" s="373">
      <c r="A29" s="443" t="inlineStr">
        <is>
          <t>X</t>
        </is>
      </c>
      <c r="B29" s="90" t="inlineStr">
        <is>
          <t>Chi phí dự phòng rủi ro tín dụng</t>
        </is>
      </c>
      <c r="C29" s="443" t="n"/>
      <c r="D29" s="536" t="n"/>
      <c r="E29" s="536" t="n"/>
      <c r="F29" s="536" t="n"/>
      <c r="G29" s="536" t="n"/>
      <c r="H29" s="536" t="n"/>
      <c r="I29" s="536" t="n"/>
      <c r="J29" s="536" t="n"/>
      <c r="K29" s="536" t="n"/>
      <c r="L29" s="536">
        <f>F29+H29+J29+D29</f>
        <v/>
      </c>
      <c r="M29" s="536">
        <f>G29+I29+K29+E29</f>
        <v/>
      </c>
      <c r="N29" s="9" t="inlineStr">
        <is>
          <t xml:space="preserve">DN TK 8822 </t>
        </is>
      </c>
      <c r="O29" s="11" t="inlineStr">
        <is>
          <t>như trên</t>
        </is>
      </c>
      <c r="P29" s="570" t="n"/>
      <c r="Q29" s="570" t="n"/>
      <c r="R29" s="570">
        <f>L29-Q29</f>
        <v/>
      </c>
    </row>
    <row r="30" ht="32.25" customHeight="1" s="373" thickBot="1">
      <c r="A30" s="443" t="inlineStr">
        <is>
          <t>XI</t>
        </is>
      </c>
      <c r="B30" s="90" t="inlineStr">
        <is>
          <t>Tổng lợi nhuận trước thuế</t>
        </is>
      </c>
      <c r="C30" s="443" t="n"/>
      <c r="D30" s="536">
        <f>D28</f>
        <v/>
      </c>
      <c r="E30" s="536" t="n">
        <v>4693945996</v>
      </c>
      <c r="F30" s="536" t="n"/>
      <c r="G30" s="536" t="n"/>
      <c r="H30" s="536" t="n"/>
      <c r="I30" s="536" t="n"/>
      <c r="J30" s="536" t="n"/>
      <c r="K30" s="536" t="n"/>
      <c r="L30" s="536">
        <f>F30+H30+J30+D30</f>
        <v/>
      </c>
      <c r="M30" s="536">
        <f>G30+I30+K30+E30</f>
        <v/>
      </c>
      <c r="N30" s="5" t="inlineStr">
        <is>
          <t>(IX-X)</t>
        </is>
      </c>
      <c r="O30" s="14" t="n"/>
      <c r="P30" s="570" t="n"/>
      <c r="Q30" s="570" t="n">
        <v>8685258311</v>
      </c>
      <c r="R30" s="570">
        <f>L30-Q30</f>
        <v/>
      </c>
      <c r="S30" s="274" t="n"/>
      <c r="T30" s="274" t="inlineStr">
        <is>
          <t xml:space="preserve">chi phí </t>
        </is>
      </c>
      <c r="U30" s="274" t="n"/>
      <c r="V30" s="274" t="n"/>
    </row>
    <row r="31" ht="31.5" customHeight="1" s="373">
      <c r="A31" s="87" t="n">
        <v>7</v>
      </c>
      <c r="B31" s="88" t="inlineStr">
        <is>
          <t>Chi phí thuế thu nhập hiện hành</t>
        </is>
      </c>
      <c r="C31" s="443" t="n"/>
      <c r="D31" s="540">
        <f>'so lieu'!D51</f>
        <v/>
      </c>
      <c r="E31" s="540" t="n">
        <v>941810249</v>
      </c>
      <c r="F31" s="540" t="n"/>
      <c r="G31" s="540" t="n"/>
      <c r="H31" s="540" t="n"/>
      <c r="I31" s="540" t="n"/>
      <c r="J31" s="540" t="n"/>
      <c r="K31" s="540" t="n"/>
      <c r="L31" s="540">
        <f>F31+H31+J31+D31</f>
        <v/>
      </c>
      <c r="M31" s="540">
        <f>G31+I31+K31+E31</f>
        <v/>
      </c>
      <c r="N31" s="2" t="inlineStr">
        <is>
          <t>DN TK: 8331</t>
        </is>
      </c>
      <c r="O31" s="11" t="inlineStr">
        <is>
          <t>như trên</t>
        </is>
      </c>
      <c r="P31" s="570" t="n"/>
      <c r="Q31" s="570" t="n">
        <v>1931656829</v>
      </c>
      <c r="R31" s="570">
        <f>L31-Q31</f>
        <v/>
      </c>
      <c r="S31" s="274">
        <f>I31=[1]BCKQKD_B03!$F$31</f>
        <v/>
      </c>
      <c r="T31" s="274" t="inlineStr">
        <is>
          <t>Tăng</t>
        </is>
      </c>
      <c r="U31" s="274" t="n">
        <v>80000000</v>
      </c>
      <c r="V31" s="274" t="n"/>
    </row>
    <row r="32" ht="32.25" customHeight="1" s="373" thickBot="1">
      <c r="A32" s="87" t="n">
        <v>8</v>
      </c>
      <c r="B32" s="88" t="inlineStr">
        <is>
          <t>Chi phí thuế thu nhập hoãn lại</t>
        </is>
      </c>
      <c r="C32" s="87" t="n"/>
      <c r="D32" s="540" t="n"/>
      <c r="E32" s="540" t="n"/>
      <c r="F32" s="540" t="n"/>
      <c r="G32" s="540" t="n"/>
      <c r="H32" s="540" t="n"/>
      <c r="I32" s="540" t="n"/>
      <c r="J32" s="540" t="n"/>
      <c r="K32" s="540" t="n"/>
      <c r="L32" s="540">
        <f>F32+H32+J32+D32</f>
        <v/>
      </c>
      <c r="M32" s="540">
        <f>G32+I32+K32+E32</f>
        <v/>
      </c>
      <c r="N32" s="10" t="inlineStr">
        <is>
          <t>DN TK: 8332 (Nếu DC  ghi bằng số âm)</t>
        </is>
      </c>
      <c r="O32" s="8" t="inlineStr">
        <is>
          <t>như trên</t>
        </is>
      </c>
      <c r="P32" s="570" t="n"/>
      <c r="Q32" s="570" t="n"/>
      <c r="R32" s="570">
        <f>L32-Q32</f>
        <v/>
      </c>
      <c r="S32" s="274" t="n"/>
      <c r="T32" s="274" t="n"/>
      <c r="U32" s="274" t="n">
        <v>19800000</v>
      </c>
      <c r="V32" s="274" t="n"/>
    </row>
    <row r="33" ht="32.25" customHeight="1" s="373" thickBot="1">
      <c r="A33" s="443" t="inlineStr">
        <is>
          <t>XII</t>
        </is>
      </c>
      <c r="B33" s="90" t="inlineStr">
        <is>
          <t>Chi phí thuế TNDN</t>
        </is>
      </c>
      <c r="C33" s="443" t="n"/>
      <c r="D33" s="536">
        <f>D31</f>
        <v/>
      </c>
      <c r="E33" s="536" t="n">
        <v>941810249</v>
      </c>
      <c r="F33" s="536" t="n"/>
      <c r="G33" s="536" t="n"/>
      <c r="H33" s="536" t="n"/>
      <c r="I33" s="536" t="n"/>
      <c r="J33" s="536" t="n"/>
      <c r="K33" s="536" t="n"/>
      <c r="L33" s="536">
        <f>F33+H33+J33+D33</f>
        <v/>
      </c>
      <c r="M33" s="536">
        <f>G33+I33+K33+E33</f>
        <v/>
      </c>
      <c r="N33" s="5" t="inlineStr">
        <is>
          <t>(7 + 8)</t>
        </is>
      </c>
      <c r="O33" s="6" t="n"/>
      <c r="P33" s="570" t="n"/>
      <c r="Q33" s="570" t="n">
        <v>1931656829</v>
      </c>
      <c r="R33" s="570">
        <f>L33-Q33</f>
        <v/>
      </c>
      <c r="S33" s="274" t="n"/>
      <c r="T33" s="274" t="inlineStr">
        <is>
          <t>Giảm</t>
        </is>
      </c>
      <c r="U33" s="274" t="n">
        <v>125400000</v>
      </c>
      <c r="V33" s="274" t="n"/>
    </row>
    <row r="34" ht="32.25" customHeight="1" s="373" thickBot="1">
      <c r="A34" s="443" t="inlineStr">
        <is>
          <t>XIII</t>
        </is>
      </c>
      <c r="B34" s="90" t="inlineStr">
        <is>
          <t>Lợi nhuận sau thuế</t>
        </is>
      </c>
      <c r="C34" s="443" t="n"/>
      <c r="D34" s="536">
        <f>D30-D33</f>
        <v/>
      </c>
      <c r="E34" s="536" t="n">
        <v>3752135747</v>
      </c>
      <c r="F34" s="536" t="n"/>
      <c r="G34" s="536" t="n"/>
      <c r="H34" s="536" t="n"/>
      <c r="I34" s="536" t="n"/>
      <c r="J34" s="536" t="n"/>
      <c r="K34" s="536" t="n"/>
      <c r="L34" s="536">
        <f>F34+H34+J34+D34</f>
        <v/>
      </c>
      <c r="M34" s="536">
        <f>G34+I34+K34+E34</f>
        <v/>
      </c>
      <c r="N34" s="5" t="inlineStr">
        <is>
          <t>XI-XII</t>
        </is>
      </c>
      <c r="O34" s="6" t="n"/>
      <c r="P34" s="570">
        <f>L34-'Thuế TNDN Q4'!D29</f>
        <v/>
      </c>
      <c r="Q34" s="570" t="n">
        <v>6753601482</v>
      </c>
      <c r="R34" s="570">
        <f>L34-Q34</f>
        <v/>
      </c>
      <c r="S34" s="274" t="n"/>
      <c r="T34" s="274" t="inlineStr">
        <is>
          <t>Giảm</t>
        </is>
      </c>
      <c r="U34" s="274">
        <f>U33-U32-U31</f>
        <v/>
      </c>
      <c r="V34" s="274" t="n"/>
    </row>
    <row r="35" ht="32.25" customHeight="1" s="373" thickBot="1">
      <c r="A35" s="443" t="inlineStr">
        <is>
          <t>XIV</t>
        </is>
      </c>
      <c r="B35" s="90" t="inlineStr">
        <is>
          <t>Lợi ích của cổ đông thiểu số</t>
        </is>
      </c>
      <c r="C35" s="443" t="n"/>
      <c r="D35" s="536" t="n"/>
      <c r="E35" s="536" t="n"/>
      <c r="F35" s="536" t="n"/>
      <c r="G35" s="536" t="n"/>
      <c r="H35" s="536" t="n"/>
      <c r="I35" s="536" t="n"/>
      <c r="J35" s="536" t="n"/>
      <c r="K35" s="536" t="n"/>
      <c r="L35" s="536">
        <f>F35+H35+J35+D35</f>
        <v/>
      </c>
      <c r="M35" s="536">
        <f>G35+I35+K35+E35</f>
        <v/>
      </c>
      <c r="N35" s="6" t="n"/>
      <c r="O35" s="10" t="inlineStr">
        <is>
          <t>Lợi nhuận thuần của Công ty trực thuộc nhân (x) với tỷ lệ (%) vốn góp của các cổ đông thiểu số tại Công ty trực thuộc.</t>
        </is>
      </c>
      <c r="P35" s="570" t="n"/>
      <c r="Q35" s="570" t="n"/>
      <c r="R35" s="570">
        <f>L35-Q35</f>
        <v/>
      </c>
      <c r="S35" s="274" t="n"/>
      <c r="T35" s="572">
        <f>L30+U34</f>
        <v/>
      </c>
      <c r="U35" s="274" t="n"/>
      <c r="V35" s="572" t="n"/>
    </row>
    <row r="36" ht="63.75" customFormat="1" customHeight="1" s="16" thickBot="1">
      <c r="A36" s="91" t="inlineStr">
        <is>
          <t>XV</t>
        </is>
      </c>
      <c r="B36" s="90" t="inlineStr">
        <is>
          <t>Lợi nhuận thuần trong kỳ của chủ sở hữu</t>
        </is>
      </c>
      <c r="C36" s="443" t="n"/>
      <c r="D36" s="536">
        <f>D34</f>
        <v/>
      </c>
      <c r="E36" s="536" t="n">
        <v>3752135747</v>
      </c>
      <c r="F36" s="536" t="n"/>
      <c r="G36" s="536" t="n"/>
      <c r="H36" s="536" t="n"/>
      <c r="I36" s="536" t="n"/>
      <c r="J36" s="536" t="n"/>
      <c r="K36" s="536" t="n"/>
      <c r="L36" s="536">
        <f>F36+H36+J36+D36</f>
        <v/>
      </c>
      <c r="M36" s="536">
        <f>G36+I36+K36+E36</f>
        <v/>
      </c>
      <c r="N36" s="6" t="n"/>
      <c r="O36" s="5" t="inlineStr">
        <is>
          <t>XIII-XIV</t>
        </is>
      </c>
      <c r="P36" s="570" t="n"/>
      <c r="Q36" s="570" t="n"/>
      <c r="R36" s="570" t="n"/>
      <c r="S36" s="573" t="n"/>
      <c r="T36" s="225" t="n"/>
      <c r="U36" s="225" t="n"/>
      <c r="V36" s="570" t="n"/>
      <c r="W36" s="570" t="n"/>
    </row>
    <row r="37">
      <c r="H37" s="574" t="n"/>
      <c r="L37" s="575" t="n"/>
      <c r="Q37" s="570" t="n"/>
    </row>
    <row r="38">
      <c r="L38" s="574" t="n"/>
    </row>
    <row r="39" ht="15.75" customHeight="1" s="373">
      <c r="A39" s="440" t="inlineStr">
        <is>
          <t>Lập bảng                           Kế toán trưởng                                         Tổng giám đốc</t>
        </is>
      </c>
    </row>
  </sheetData>
  <mergeCells count="15">
    <mergeCell ref="H11:I11"/>
    <mergeCell ref="F11:G11"/>
    <mergeCell ref="J11:K11"/>
    <mergeCell ref="A5:M5"/>
    <mergeCell ref="A8:M8"/>
    <mergeCell ref="D11:E11"/>
    <mergeCell ref="O11:O12"/>
    <mergeCell ref="A4:M4"/>
    <mergeCell ref="B11:B12"/>
    <mergeCell ref="L11:M11"/>
    <mergeCell ref="A39:M39"/>
    <mergeCell ref="C11:C12"/>
    <mergeCell ref="A7:M7"/>
    <mergeCell ref="A11:A12"/>
    <mergeCell ref="N11:N12"/>
  </mergeCells>
  <pageMargins left="0.25" right="0.25" top="0.75" bottom="0.75" header="0.3" footer="0.3"/>
  <pageSetup orientation="portrait"/>
</worksheet>
</file>

<file path=xl/worksheets/sheet4.xml><?xml version="1.0" encoding="utf-8"?>
<worksheet xmlns="http://schemas.openxmlformats.org/spreadsheetml/2006/main">
  <sheetPr codeName="Sheet3">
    <tabColor theme="3" tint="0.7999816888943144"/>
    <outlinePr summaryBelow="1" summaryRight="1"/>
    <pageSetUpPr/>
  </sheetPr>
  <dimension ref="A1:R125"/>
  <sheetViews>
    <sheetView zoomScaleNormal="100" workbookViewId="0">
      <selection activeCell="A2" sqref="A2:C2"/>
    </sheetView>
  </sheetViews>
  <sheetFormatPr baseColWidth="8" defaultColWidth="41.42578125" defaultRowHeight="15"/>
  <cols>
    <col width="5.7109375" customWidth="1" style="20" min="1" max="1"/>
    <col width="39.7109375" customWidth="1" style="18" min="2" max="2"/>
    <col width="16.140625" bestFit="1" customWidth="1" style="18" min="3" max="3"/>
    <col width="23.28515625" customWidth="1" style="576" min="4" max="4"/>
    <col width="22.42578125" customWidth="1" style="577" min="5" max="5"/>
    <col hidden="1" width="41.42578125" customWidth="1" style="18" min="6" max="10"/>
    <col hidden="1" width="41.42578125" customWidth="1" style="578" min="11" max="11"/>
    <col hidden="1" width="41.42578125" customWidth="1" style="18" min="12" max="12"/>
    <col hidden="1" width="17.28515625" customWidth="1" style="18" min="13" max="13"/>
    <col hidden="1" width="13" customWidth="1" style="18" min="14" max="14"/>
    <col width="41.42578125" customWidth="1" style="18" min="15" max="16384"/>
  </cols>
  <sheetData>
    <row r="1" ht="30.75" customHeight="1" s="373">
      <c r="A1" s="108" t="inlineStr">
        <is>
          <t>ĐƠN VỊ  BÁO CÁO: Ten cong ty</t>
        </is>
      </c>
      <c r="B1" s="108" t="n"/>
      <c r="C1" s="17" t="n"/>
      <c r="D1" s="579" t="inlineStr">
        <is>
          <t>Mẫu số: B04a/TCTD: BCTC riêng lẻ</t>
        </is>
      </c>
      <c r="P1" s="21" t="n"/>
    </row>
    <row r="2">
      <c r="A2" s="465" t="inlineStr">
        <is>
          <t>Địa chỉ : Dia chi</t>
        </is>
      </c>
      <c r="D2" s="580" t="n"/>
      <c r="E2" s="581" t="n"/>
      <c r="P2" s="21" t="n"/>
    </row>
    <row r="3">
      <c r="A3" s="109" t="n"/>
      <c r="B3" s="110" t="n"/>
      <c r="C3" s="110" t="n"/>
      <c r="D3" s="580" t="n"/>
      <c r="E3" s="581" t="n"/>
      <c r="P3" s="21" t="n"/>
    </row>
    <row r="4">
      <c r="A4" s="466" t="inlineStr">
        <is>
          <t>BÁO CÁO LƯU CHUYỂN TIỀN TỆ GIỮA NIÊN ĐỘ</t>
        </is>
      </c>
      <c r="P4" s="21" t="n"/>
    </row>
    <row r="5">
      <c r="A5" s="466" t="inlineStr">
        <is>
          <t xml:space="preserve"> (Theo phương pháp trực tiếp)</t>
        </is>
      </c>
      <c r="P5" s="21" t="n"/>
    </row>
    <row r="6">
      <c r="A6" s="466" t="inlineStr">
        <is>
          <t>(Dạng đầy đủ)</t>
        </is>
      </c>
      <c r="P6" s="21" t="n"/>
    </row>
    <row r="7">
      <c r="A7" s="463" t="inlineStr">
        <is>
          <t>Quý I năm 2026</t>
        </is>
      </c>
      <c r="P7" s="21" t="n"/>
    </row>
    <row r="8">
      <c r="A8" s="463" t="n"/>
      <c r="B8" s="17" t="n"/>
      <c r="C8" s="17" t="n"/>
      <c r="E8" s="581" t="n"/>
      <c r="P8" s="21" t="n"/>
    </row>
    <row r="9">
      <c r="B9" s="17" t="n"/>
      <c r="C9" s="468" t="inlineStr">
        <is>
          <t>Đơn vị tính : Đồng Việt Nam (VNĐ)</t>
        </is>
      </c>
      <c r="P9" s="21" t="n"/>
    </row>
    <row r="10" ht="15.75" customHeight="1" s="373" thickBot="1">
      <c r="B10" s="17" t="n"/>
      <c r="C10" s="468" t="n"/>
      <c r="E10" s="581" t="n"/>
      <c r="P10" s="21" t="n"/>
    </row>
    <row r="11" ht="33" customHeight="1" s="373">
      <c r="A11" s="115" t="inlineStr">
        <is>
          <t>STT</t>
        </is>
      </c>
      <c r="B11" s="115" t="inlineStr">
        <is>
          <t>Chỉ tiêu</t>
        </is>
      </c>
      <c r="C11" s="115" t="inlineStr">
        <is>
          <t>TM</t>
        </is>
      </c>
      <c r="D11" s="582" t="inlineStr">
        <is>
          <t>Luỹ kế từ đầu năm đến cuối quý này</t>
        </is>
      </c>
      <c r="E11" s="564" t="n"/>
      <c r="F11" s="583" t="inlineStr">
        <is>
          <t>Cách lấy số liệu Báo cáo LCTT riêng lẻ</t>
        </is>
      </c>
      <c r="G11" s="584" t="inlineStr">
        <is>
          <t>Cách lấy số liệu Báo cáo LCTT hợp nhất</t>
        </is>
      </c>
      <c r="P11" s="21" t="n"/>
    </row>
    <row r="12" ht="31.5" customHeight="1" s="373" thickBot="1">
      <c r="A12" s="545" t="n"/>
      <c r="B12" s="545" t="n"/>
      <c r="C12" s="545" t="n"/>
      <c r="D12" s="585" t="inlineStr">
        <is>
          <t>Năm nay</t>
        </is>
      </c>
      <c r="E12" s="582" t="inlineStr">
        <is>
          <t>Năm trước</t>
        </is>
      </c>
      <c r="F12" s="567" t="n"/>
      <c r="G12" s="560" t="n"/>
      <c r="P12" s="21" t="n"/>
    </row>
    <row r="13" ht="32.25" customHeight="1" s="373" thickBot="1">
      <c r="A13" s="446" t="inlineStr">
        <is>
          <t>Lưu chuyển tiền tệ từ hoạt động kinh doanh</t>
        </is>
      </c>
      <c r="B13" s="564" t="n"/>
      <c r="C13" s="115" t="n"/>
      <c r="D13" s="585" t="n"/>
      <c r="E13" s="585" t="n"/>
      <c r="F13" s="116" t="n"/>
      <c r="G13" s="116" t="n"/>
      <c r="P13" s="21" t="n"/>
      <c r="Q13" s="21" t="n"/>
      <c r="R13" s="21" t="n"/>
    </row>
    <row r="14" ht="29.25" customFormat="1" customHeight="1" s="21" thickBot="1">
      <c r="A14" s="115" t="n">
        <v>1</v>
      </c>
      <c r="B14" s="446" t="inlineStr">
        <is>
          <t xml:space="preserve">Thu nhập lãi và các khoản thu nhập tương tự nhận được </t>
        </is>
      </c>
      <c r="C14" s="586" t="n"/>
      <c r="D14" s="585">
        <f>D15+D16-D17</f>
        <v/>
      </c>
      <c r="E14" s="585" t="n">
        <v>762740128</v>
      </c>
      <c r="F14" s="451" t="inlineStr">
        <is>
          <t xml:space="preserve"> (a + b - c) </t>
        </is>
      </c>
      <c r="G14" s="116" t="inlineStr">
        <is>
          <t xml:space="preserve"> (a +b –c)</t>
        </is>
      </c>
      <c r="K14" s="587" t="n"/>
      <c r="M14" s="588" t="n">
        <v>3763468059</v>
      </c>
      <c r="N14" s="589">
        <f>D14-M14</f>
        <v/>
      </c>
    </row>
    <row r="15" ht="18" customHeight="1" s="373" thickBot="1">
      <c r="A15" s="455" t="inlineStr">
        <is>
          <t>a</t>
        </is>
      </c>
      <c r="B15" s="456" t="n"/>
      <c r="C15" s="590" t="n"/>
      <c r="D15" s="591">
        <f>'so lieu'!B20</f>
        <v/>
      </c>
      <c r="E15" s="592" t="n"/>
      <c r="F15" s="121" t="inlineStr">
        <is>
          <t>Dư Nợ đầu kỳ các TK: 391, 392, 394, 396</t>
        </is>
      </c>
      <c r="G15" s="121" t="inlineStr">
        <is>
          <t>Tổng các khoản mục tương ứng trên BCTC Riêng lẻ và BCTC của Công ty trực thuộc</t>
        </is>
      </c>
      <c r="M15" s="593" t="n"/>
      <c r="P15" s="21" t="n"/>
      <c r="Q15" s="21" t="n"/>
      <c r="R15" s="21" t="n"/>
    </row>
    <row r="16" ht="15.75" customHeight="1" s="373" thickBot="1">
      <c r="A16" s="455" t="inlineStr">
        <is>
          <t>b</t>
        </is>
      </c>
      <c r="B16" s="456" t="n"/>
      <c r="C16" s="590" t="n"/>
      <c r="D16" s="591">
        <f>'B03'!D14</f>
        <v/>
      </c>
      <c r="E16" s="591" t="n">
        <v>762740128</v>
      </c>
      <c r="F16" s="121" t="inlineStr">
        <is>
          <t>Điểm 1 mẫu B03</t>
        </is>
      </c>
      <c r="G16" s="121" t="inlineStr">
        <is>
          <t>Như trên</t>
        </is>
      </c>
      <c r="M16" s="593" t="n">
        <v>3763468059</v>
      </c>
      <c r="N16" s="589">
        <f>D16-M16</f>
        <v/>
      </c>
      <c r="P16" s="21" t="n"/>
      <c r="Q16" s="21" t="n"/>
      <c r="R16" s="21" t="n"/>
    </row>
    <row r="17" ht="15.75" customHeight="1" s="373" thickBot="1">
      <c r="A17" s="455" t="inlineStr">
        <is>
          <t>c</t>
        </is>
      </c>
      <c r="B17" s="456" t="n"/>
      <c r="C17" s="590" t="n"/>
      <c r="D17" s="591">
        <f>'so lieu'!F20</f>
        <v/>
      </c>
      <c r="E17" s="591" t="n"/>
      <c r="F17" s="121" t="inlineStr">
        <is>
          <t>Dư Nợ cuối kỳ các TK: 391, 392 394, 396</t>
        </is>
      </c>
      <c r="G17" s="121" t="inlineStr">
        <is>
          <t>Như trên</t>
        </is>
      </c>
      <c r="M17" s="593" t="n"/>
      <c r="P17" s="21" t="n"/>
      <c r="Q17" s="21" t="n"/>
      <c r="R17" s="21" t="n"/>
    </row>
    <row r="18" ht="35.25" customFormat="1" customHeight="1" s="21" thickBot="1">
      <c r="A18" s="115" t="n">
        <v>2</v>
      </c>
      <c r="B18" s="446" t="inlineStr">
        <is>
          <t xml:space="preserve">Chi phí lãi và các chi phí tương tự đã trả </t>
        </is>
      </c>
      <c r="C18" s="115" t="n"/>
      <c r="D18" s="585">
        <f>D20</f>
        <v/>
      </c>
      <c r="E18" s="585" t="n">
        <v>0</v>
      </c>
      <c r="F18" s="451" t="inlineStr">
        <is>
          <t xml:space="preserve"> (a + b – c) </t>
        </is>
      </c>
      <c r="G18" s="451" t="n"/>
      <c r="K18" s="587" t="n"/>
      <c r="M18" s="588" t="n">
        <v>-2504311133</v>
      </c>
      <c r="N18" s="589">
        <f>D18-M18</f>
        <v/>
      </c>
      <c r="P18" t="n"/>
      <c r="Q18" t="n"/>
    </row>
    <row r="19" ht="18.75" customHeight="1" s="373" thickBot="1">
      <c r="A19" s="455" t="inlineStr">
        <is>
          <t>a</t>
        </is>
      </c>
      <c r="B19" s="456" t="n"/>
      <c r="C19" s="455" t="n"/>
      <c r="D19" s="591" t="n"/>
      <c r="E19" s="591" t="n"/>
      <c r="F19" s="121" t="inlineStr">
        <is>
          <t>Dư Có đầu kỳ các TK: 491, 492 493, 494, 496</t>
        </is>
      </c>
      <c r="G19" s="460" t="inlineStr">
        <is>
          <t>Như trên</t>
        </is>
      </c>
      <c r="M19" s="593" t="n"/>
      <c r="P19" s="21" t="n"/>
      <c r="Q19" s="21" t="n"/>
      <c r="R19" s="21" t="n"/>
    </row>
    <row r="20" ht="15.75" customHeight="1" s="373" thickBot="1">
      <c r="A20" s="455" t="inlineStr">
        <is>
          <t>b</t>
        </is>
      </c>
      <c r="B20" s="456" t="n"/>
      <c r="C20" s="455" t="n"/>
      <c r="D20" s="594">
        <f>-'B03'!L15</f>
        <v/>
      </c>
      <c r="E20" s="594" t="n">
        <v>0</v>
      </c>
      <c r="F20" s="121" t="inlineStr">
        <is>
          <t>Điểm 2 mẫu B03</t>
        </is>
      </c>
      <c r="G20" s="460" t="inlineStr">
        <is>
          <t xml:space="preserve">Như trên </t>
        </is>
      </c>
      <c r="M20" s="588" t="n">
        <v>0</v>
      </c>
      <c r="P20" s="21" t="n"/>
      <c r="Q20" s="21" t="n"/>
      <c r="R20" s="21" t="n"/>
    </row>
    <row r="21" ht="18.75" customHeight="1" s="373" thickBot="1">
      <c r="A21" s="455" t="inlineStr">
        <is>
          <t>c</t>
        </is>
      </c>
      <c r="B21" s="456" t="n"/>
      <c r="C21" s="455" t="n"/>
      <c r="D21" s="591" t="n"/>
      <c r="E21" s="591" t="n"/>
      <c r="F21" s="121" t="inlineStr">
        <is>
          <t>Dư Có cuối kỳ các TK 491, 492, 493, 494, 496</t>
        </is>
      </c>
      <c r="G21" s="460" t="inlineStr">
        <is>
          <t>Như trên</t>
        </is>
      </c>
      <c r="M21" s="593" t="n"/>
      <c r="P21" s="21" t="n"/>
      <c r="Q21" s="21" t="n"/>
      <c r="R21" s="21" t="n"/>
    </row>
    <row r="22" ht="43.5" customFormat="1" customHeight="1" s="21">
      <c r="A22" s="115" t="n">
        <v>3</v>
      </c>
      <c r="B22" s="446" t="inlineStr">
        <is>
          <t xml:space="preserve">Thu nhập từ hoạt động dịch vụ nhận được </t>
        </is>
      </c>
      <c r="C22" s="115" t="n"/>
      <c r="D22" s="585">
        <f>D23+D24-D25-(D26+D27-D28)</f>
        <v/>
      </c>
      <c r="E22" s="585" t="n">
        <v>10255790430</v>
      </c>
      <c r="F22" s="595">
        <f>F23+F24-F25-(F26+F27-F28)</f>
        <v/>
      </c>
      <c r="G22" s="595">
        <f>G23+G24-G25-(G26+G27-G28)</f>
        <v/>
      </c>
      <c r="H22" s="595">
        <f>H23+H24-H25-(H26+H27-H28)</f>
        <v/>
      </c>
      <c r="I22" s="595">
        <f>I23+I24-I25-(I26+I27-I28)</f>
        <v/>
      </c>
      <c r="J22" s="595">
        <f>J23+J24-J25-(J26+J27-J28)</f>
        <v/>
      </c>
      <c r="K22" s="595">
        <f>K23+K24-K25-(K26+K27-K28)</f>
        <v/>
      </c>
      <c r="L22" s="595">
        <f>L23+L24-L25-(L26+L27-L28)</f>
        <v/>
      </c>
      <c r="M22" s="588" t="n">
        <v>14976648669</v>
      </c>
      <c r="N22" s="589">
        <f>D22-M22</f>
        <v/>
      </c>
    </row>
    <row r="23" ht="16.5" customHeight="1" s="373" thickBot="1">
      <c r="A23" s="455" t="inlineStr">
        <is>
          <t>a</t>
        </is>
      </c>
      <c r="B23" s="456" t="inlineStr">
        <is>
          <t>Dư nợ đầu kỳ 397</t>
        </is>
      </c>
      <c r="C23" s="455" t="n"/>
      <c r="D23" s="596">
        <f>'so lieu'!B21</f>
        <v/>
      </c>
      <c r="E23" s="596" t="n">
        <v>4753543647</v>
      </c>
      <c r="F23" s="121" t="inlineStr">
        <is>
          <t>Dư Nợ đầu kỳ TK 397</t>
        </is>
      </c>
      <c r="G23" s="127" t="inlineStr">
        <is>
          <t>như trên</t>
        </is>
      </c>
      <c r="M23" s="593" t="n"/>
      <c r="P23" s="21" t="n"/>
      <c r="Q23" s="21" t="n"/>
      <c r="R23" s="21" t="n"/>
    </row>
    <row r="24" ht="15.75" customHeight="1" s="373" thickBot="1">
      <c r="A24" s="455" t="inlineStr">
        <is>
          <t>b</t>
        </is>
      </c>
      <c r="B24" s="456" t="inlineStr">
        <is>
          <t>Điểm 03 mẫu B03</t>
        </is>
      </c>
      <c r="C24" s="455" t="n"/>
      <c r="D24" s="591">
        <f>'B03'!L17</f>
        <v/>
      </c>
      <c r="E24" s="591" t="n">
        <v>11184553194</v>
      </c>
      <c r="F24" s="121" t="inlineStr">
        <is>
          <t>Điểm 3 mẫu B03</t>
        </is>
      </c>
      <c r="G24" s="127" t="inlineStr">
        <is>
          <t>như trên</t>
        </is>
      </c>
      <c r="M24" s="593" t="n">
        <v>31450386776</v>
      </c>
      <c r="N24" s="589">
        <f>D24-M24</f>
        <v/>
      </c>
      <c r="P24" s="21" t="n"/>
      <c r="Q24" s="21" t="n"/>
      <c r="R24" s="21" t="n"/>
    </row>
    <row r="25" ht="15.75" customHeight="1" s="373" thickBot="1">
      <c r="A25" s="455" t="inlineStr">
        <is>
          <t>c</t>
        </is>
      </c>
      <c r="B25" s="456" t="inlineStr">
        <is>
          <t>Dư nợ ck 397</t>
        </is>
      </c>
      <c r="C25" s="455" t="n"/>
      <c r="D25" s="591">
        <f>'so lieu'!F21</f>
        <v/>
      </c>
      <c r="E25" s="591" t="n">
        <v>3647807090</v>
      </c>
      <c r="F25" s="121" t="inlineStr">
        <is>
          <t>Dư Nợ cuối kỳ TK 397</t>
        </is>
      </c>
      <c r="G25" s="127" t="inlineStr">
        <is>
          <t>như trên</t>
        </is>
      </c>
      <c r="M25" s="593" t="n"/>
      <c r="P25" s="21" t="n"/>
      <c r="Q25" s="21" t="n"/>
      <c r="R25" s="21" t="n"/>
    </row>
    <row r="26" ht="15.75" customHeight="1" s="373" thickBot="1">
      <c r="A26" s="455" t="inlineStr">
        <is>
          <t>d</t>
        </is>
      </c>
      <c r="B26" s="456" t="inlineStr">
        <is>
          <t>DƯ có đầu kỳ 497</t>
        </is>
      </c>
      <c r="C26" s="455" t="n"/>
      <c r="D26" s="591" t="n">
        <v>0</v>
      </c>
      <c r="E26" s="591" t="n"/>
      <c r="F26" s="121" t="inlineStr">
        <is>
          <t>Dư Có đầu kỳ TK 497</t>
        </is>
      </c>
      <c r="G26" s="127" t="inlineStr">
        <is>
          <t>như trên</t>
        </is>
      </c>
      <c r="M26" s="593" t="n">
        <v>0</v>
      </c>
      <c r="P26" s="21" t="n"/>
      <c r="Q26" s="21" t="n"/>
      <c r="R26" s="21" t="n"/>
    </row>
    <row r="27" ht="15.75" customHeight="1" s="373" thickBot="1">
      <c r="A27" s="455" t="inlineStr">
        <is>
          <t>e</t>
        </is>
      </c>
      <c r="B27" s="456" t="inlineStr">
        <is>
          <t>Điểm 04 mẫu B03</t>
        </is>
      </c>
      <c r="C27" s="455" t="n"/>
      <c r="D27" s="591">
        <f>'B03'!L18</f>
        <v/>
      </c>
      <c r="E27" s="591" t="n">
        <v>2034499321</v>
      </c>
      <c r="F27" s="121" t="inlineStr">
        <is>
          <t>Điểm 4 mẫu B03</t>
        </is>
      </c>
      <c r="G27" s="127" t="inlineStr">
        <is>
          <t>như trên</t>
        </is>
      </c>
      <c r="M27" s="593" t="n">
        <v>16473738107</v>
      </c>
      <c r="N27" s="589">
        <f>D27-M27</f>
        <v/>
      </c>
      <c r="P27" s="21" t="n"/>
      <c r="Q27" s="21" t="n"/>
      <c r="R27" s="21" t="n"/>
    </row>
    <row r="28" ht="15.75" customHeight="1" s="373" thickBot="1">
      <c r="A28" s="455" t="inlineStr">
        <is>
          <t>g</t>
        </is>
      </c>
      <c r="B28" s="456" t="inlineStr">
        <is>
          <t>Dư có ck 497</t>
        </is>
      </c>
      <c r="C28" s="455" t="n"/>
      <c r="D28" s="591">
        <f>'so lieu'!G35</f>
        <v/>
      </c>
      <c r="E28" s="591" t="n">
        <v>0</v>
      </c>
      <c r="F28" s="121" t="inlineStr">
        <is>
          <t>Dư Có cuối kỳ TK 497</t>
        </is>
      </c>
      <c r="G28" s="127" t="inlineStr">
        <is>
          <t>như trên</t>
        </is>
      </c>
      <c r="M28" s="593" t="n">
        <v>0</v>
      </c>
      <c r="P28" s="589" t="n"/>
      <c r="Q28" s="21" t="n"/>
      <c r="R28" s="21" t="n"/>
    </row>
    <row r="29" ht="43.5" customFormat="1" customHeight="1" s="21" thickBot="1">
      <c r="A29" s="115" t="n">
        <v>4</v>
      </c>
      <c r="B29" s="446" t="inlineStr">
        <is>
          <t xml:space="preserve">Chênh lệch số tiền thực thu/ thực chi từ hoạt động kinh doanh (ngoại tệ, vàng bạc, chứng khoán) </t>
        </is>
      </c>
      <c r="C29" s="115" t="n"/>
      <c r="D29" s="585">
        <f>D30+D31+D32</f>
        <v/>
      </c>
      <c r="E29" s="585" t="n">
        <v>456710901</v>
      </c>
      <c r="F29" s="451" t="inlineStr">
        <is>
          <t xml:space="preserve"> (a + b + c) </t>
        </is>
      </c>
      <c r="G29" s="451" t="n"/>
      <c r="K29" s="587" t="n"/>
      <c r="M29" s="588" t="n">
        <v>267713904</v>
      </c>
      <c r="N29" s="589">
        <f>D29-M29</f>
        <v/>
      </c>
    </row>
    <row r="30" ht="15.75" customHeight="1" s="373" thickBot="1">
      <c r="A30" s="455" t="inlineStr">
        <is>
          <t>a</t>
        </is>
      </c>
      <c r="B30" s="456" t="inlineStr">
        <is>
          <t>Điểm III b03</t>
        </is>
      </c>
      <c r="C30" s="455" t="n"/>
      <c r="D30" s="591">
        <f>'B03'!L20</f>
        <v/>
      </c>
      <c r="E30" s="591" t="n">
        <v>456710901</v>
      </c>
      <c r="F30" s="121" t="inlineStr">
        <is>
          <t>Mục III (Mẫu B03/TCTD)</t>
        </is>
      </c>
      <c r="G30" s="127" t="inlineStr">
        <is>
          <t>như trên</t>
        </is>
      </c>
      <c r="M30" s="593" t="n">
        <v>267713904</v>
      </c>
      <c r="N30" s="589">
        <f>D30-M30</f>
        <v/>
      </c>
      <c r="P30" s="21" t="n"/>
      <c r="Q30" s="21" t="n"/>
      <c r="R30" s="21" t="n"/>
    </row>
    <row r="31" ht="15.75" customHeight="1" s="373" thickBot="1">
      <c r="A31" s="455" t="inlineStr">
        <is>
          <t>b</t>
        </is>
      </c>
      <c r="B31" s="456" t="n"/>
      <c r="C31" s="455" t="n"/>
      <c r="D31" s="591">
        <f>'B03'!F21</f>
        <v/>
      </c>
      <c r="E31" s="591" t="n">
        <v>0</v>
      </c>
      <c r="F31" s="121" t="inlineStr">
        <is>
          <t xml:space="preserve">Mục IV (Mẫu B03/TCTD):  </t>
        </is>
      </c>
      <c r="G31" s="127" t="inlineStr">
        <is>
          <t>như trên</t>
        </is>
      </c>
      <c r="M31" s="593" t="n"/>
      <c r="P31" s="21" t="n"/>
      <c r="Q31" s="21" t="n"/>
      <c r="R31" s="21" t="n"/>
    </row>
    <row r="32" ht="15.75" customHeight="1" s="373" thickBot="1">
      <c r="A32" s="455" t="inlineStr">
        <is>
          <t>c</t>
        </is>
      </c>
      <c r="B32" s="456" t="n"/>
      <c r="C32" s="455" t="n"/>
      <c r="D32" s="591">
        <f>'B03'!F22</f>
        <v/>
      </c>
      <c r="E32" s="591" t="n">
        <v>0</v>
      </c>
      <c r="F32" s="121" t="inlineStr">
        <is>
          <t>Mục V (Mẫu B03/TCTD):</t>
        </is>
      </c>
      <c r="G32" s="127" t="inlineStr">
        <is>
          <t>như trên</t>
        </is>
      </c>
      <c r="M32" s="593" t="n"/>
      <c r="P32" s="21" t="n"/>
      <c r="Q32" s="21" t="n"/>
      <c r="R32" s="21" t="n"/>
    </row>
    <row r="33" ht="20.25" customFormat="1" customHeight="1" s="21" thickBot="1">
      <c r="A33" s="115" t="n">
        <v>5</v>
      </c>
      <c r="B33" s="446" t="inlineStr">
        <is>
          <t>Thu nhập khác</t>
        </is>
      </c>
      <c r="C33" s="115" t="n"/>
      <c r="D33" s="585">
        <f>D34-D35-D36-D37+D38</f>
        <v/>
      </c>
      <c r="E33" s="585" t="n">
        <v>-105250</v>
      </c>
      <c r="F33" s="451" t="inlineStr">
        <is>
          <t>(a – b - c)</t>
        </is>
      </c>
      <c r="G33" s="451" t="n"/>
      <c r="K33" s="587" t="n"/>
      <c r="M33" s="588" t="n">
        <v>3413724</v>
      </c>
    </row>
    <row r="34" ht="15.75" customHeight="1" s="373" thickBot="1">
      <c r="A34" s="455" t="inlineStr">
        <is>
          <t>a</t>
        </is>
      </c>
      <c r="B34" s="456" t="n"/>
      <c r="C34" s="455" t="n"/>
      <c r="D34" s="591">
        <f>'B03'!L23</f>
        <v/>
      </c>
      <c r="E34" s="591" t="n">
        <v>0</v>
      </c>
      <c r="F34" s="121" t="inlineStr">
        <is>
          <t>Điểm 5 (Mẫu B03/TCTD)</t>
        </is>
      </c>
      <c r="G34" s="127" t="inlineStr">
        <is>
          <t>như trên</t>
        </is>
      </c>
      <c r="M34" s="593" t="n">
        <v>3500000</v>
      </c>
      <c r="P34" s="21" t="n"/>
      <c r="Q34" s="21" t="n"/>
      <c r="R34" s="21" t="n"/>
    </row>
    <row r="35" ht="15.75" customHeight="1" s="373" thickBot="1">
      <c r="A35" s="455" t="inlineStr">
        <is>
          <t>b</t>
        </is>
      </c>
      <c r="B35" s="456" t="n"/>
      <c r="C35" s="455" t="n"/>
      <c r="E35" s="576" t="n"/>
      <c r="F35" s="121" t="inlineStr">
        <is>
          <t>Dư Có cuối kỳ TK 7900.05</t>
        </is>
      </c>
      <c r="G35" s="127" t="inlineStr">
        <is>
          <t>như trên</t>
        </is>
      </c>
      <c r="M35" s="593" t="n"/>
      <c r="P35" s="21" t="n"/>
      <c r="Q35" s="21" t="n"/>
      <c r="R35" s="21" t="n"/>
    </row>
    <row r="36" ht="15.75" customHeight="1" s="373" thickBot="1">
      <c r="A36" s="455" t="inlineStr">
        <is>
          <t>c</t>
        </is>
      </c>
      <c r="B36" s="456" t="n"/>
      <c r="C36" s="455" t="n"/>
      <c r="D36" s="591">
        <f>'B03'!L24</f>
        <v/>
      </c>
      <c r="E36" s="591" t="n">
        <v>105250</v>
      </c>
      <c r="F36" s="121" t="inlineStr">
        <is>
          <t>Điểm 6 (Mẫu B03/TCTD)</t>
        </is>
      </c>
      <c r="G36" s="127" t="inlineStr">
        <is>
          <t>như trên</t>
        </is>
      </c>
      <c r="M36" s="593" t="n">
        <v>86276</v>
      </c>
      <c r="P36" s="21" t="n"/>
      <c r="Q36" s="21" t="n"/>
      <c r="R36" s="21" t="n"/>
    </row>
    <row r="37" ht="15.75" customHeight="1" s="373" thickBot="1">
      <c r="A37" s="455" t="inlineStr">
        <is>
          <t>d</t>
        </is>
      </c>
      <c r="B37" s="456" t="n"/>
      <c r="C37" s="455" t="n"/>
      <c r="D37" s="591" t="n"/>
      <c r="E37" s="591" t="n"/>
      <c r="F37" s="121" t="n"/>
      <c r="G37" s="127" t="n"/>
      <c r="M37" s="593" t="n"/>
      <c r="P37" s="21" t="n"/>
      <c r="Q37" s="21" t="n"/>
      <c r="R37" s="21" t="n"/>
    </row>
    <row r="38" ht="15.75" customHeight="1" s="373" thickBot="1">
      <c r="A38" s="455" t="inlineStr">
        <is>
          <t>e</t>
        </is>
      </c>
      <c r="B38" s="456" t="n"/>
      <c r="C38" s="455" t="n"/>
      <c r="D38" s="591" t="n"/>
      <c r="E38" s="591" t="n"/>
      <c r="F38" s="121" t="n"/>
      <c r="G38" s="127" t="n"/>
      <c r="M38" s="593" t="n"/>
      <c r="P38" s="21" t="n"/>
      <c r="Q38" s="21" t="n"/>
      <c r="R38" s="21" t="n"/>
    </row>
    <row r="39" ht="29.25" customHeight="1" s="373" thickBot="1">
      <c r="A39" s="455" t="n">
        <v>6</v>
      </c>
      <c r="B39" s="446" t="inlineStr">
        <is>
          <t>Tiền thu các khoản nợ đã được xử lý xoá, bù đắp bằng nguồn rủi ro</t>
        </is>
      </c>
      <c r="C39" s="455" t="n"/>
      <c r="D39" s="591" t="n">
        <v>0</v>
      </c>
      <c r="E39" s="591" t="n">
        <v>0</v>
      </c>
      <c r="F39" s="121" t="inlineStr">
        <is>
          <t xml:space="preserve"> Dư Có cuối kỳ TK 7900.05</t>
        </is>
      </c>
      <c r="G39" s="127" t="inlineStr">
        <is>
          <t>như trên</t>
        </is>
      </c>
      <c r="M39" s="593" t="n">
        <v>0</v>
      </c>
      <c r="P39" s="21" t="n"/>
      <c r="Q39" s="21" t="n"/>
      <c r="R39" s="21" t="n"/>
    </row>
    <row r="40" ht="29.25" customFormat="1" customHeight="1" s="21" thickBot="1">
      <c r="A40" s="115" t="n">
        <v>7</v>
      </c>
      <c r="B40" s="446" t="inlineStr">
        <is>
          <t xml:space="preserve">Tiền chi trả cho nhân viên và hoạt động quản lý, công vụ (*) </t>
        </is>
      </c>
      <c r="C40" s="115" t="n"/>
      <c r="D40" s="585">
        <f>-(D41+D42-D43-D44)</f>
        <v/>
      </c>
      <c r="E40" s="585" t="n">
        <v>-8031487537</v>
      </c>
      <c r="F40" s="451" t="inlineStr">
        <is>
          <t xml:space="preserve"> (a + b - c) </t>
        </is>
      </c>
      <c r="G40" s="451" t="n"/>
      <c r="K40" s="587" t="inlineStr">
        <is>
          <t>85 + 86 + (DDC 4620 - DCC 4620)</t>
        </is>
      </c>
      <c r="M40" s="588" t="n">
        <v>-8357331200</v>
      </c>
    </row>
    <row r="41" ht="15.75" customHeight="1" s="373" thickBot="1">
      <c r="A41" s="455" t="inlineStr">
        <is>
          <t>a</t>
        </is>
      </c>
      <c r="B41" s="456" t="inlineStr">
        <is>
          <t>Dư có đầu kỳ TK 4620</t>
        </is>
      </c>
      <c r="C41" s="455" t="n"/>
      <c r="D41" s="597">
        <f>'so lieu'!C31</f>
        <v/>
      </c>
      <c r="E41" s="597" t="n">
        <v>4136351151</v>
      </c>
      <c r="F41" s="121" t="inlineStr">
        <is>
          <t>Dư Có đầu kỳ TK 4620</t>
        </is>
      </c>
      <c r="G41" s="127" t="inlineStr">
        <is>
          <t>như trên</t>
        </is>
      </c>
      <c r="M41" s="593" t="n">
        <v>1081625666</v>
      </c>
      <c r="P41" s="21" t="n"/>
      <c r="Q41" s="21" t="n"/>
      <c r="R41" s="21" t="n"/>
    </row>
    <row r="42" ht="15.75" customHeight="1" s="373" thickBot="1">
      <c r="A42" s="455" t="inlineStr">
        <is>
          <t>b</t>
        </is>
      </c>
      <c r="B42" s="456" t="inlineStr">
        <is>
          <t>Mục VIII mẫu B03</t>
        </is>
      </c>
      <c r="C42" s="455" t="n"/>
      <c r="D42" s="591">
        <f>'B03'!L27</f>
        <v/>
      </c>
      <c r="E42" s="591" t="n">
        <v>5675453656</v>
      </c>
      <c r="F42" s="121" t="inlineStr">
        <is>
          <t>Dư Nợ cuối kỳ các TK 85, 86</t>
        </is>
      </c>
      <c r="G42" s="127" t="inlineStr">
        <is>
          <t>như trên</t>
        </is>
      </c>
      <c r="L42" s="129" t="n"/>
      <c r="M42" s="593" t="n">
        <v>8990362254</v>
      </c>
      <c r="P42" s="21" t="n"/>
      <c r="Q42" s="21" t="n"/>
      <c r="R42" s="21" t="n"/>
    </row>
    <row r="43" ht="15.75" customHeight="1" s="373" thickBot="1">
      <c r="A43" s="455" t="inlineStr">
        <is>
          <t>c</t>
        </is>
      </c>
      <c r="B43" s="456" t="inlineStr">
        <is>
          <t>Dư có cuối kỳ TK 4620</t>
        </is>
      </c>
      <c r="C43" s="455" t="n"/>
      <c r="D43" s="591">
        <f>'so lieu'!G31</f>
        <v/>
      </c>
      <c r="E43" s="591" t="n">
        <v>1774591515</v>
      </c>
      <c r="F43" s="121" t="inlineStr">
        <is>
          <t>Dư Có cuối kỳ TK 4620</t>
        </is>
      </c>
      <c r="G43" s="127" t="inlineStr">
        <is>
          <t>như trên</t>
        </is>
      </c>
      <c r="M43" s="593" t="n">
        <v>1679014356</v>
      </c>
      <c r="P43" s="21" t="n"/>
      <c r="Q43" s="21" t="n"/>
      <c r="R43" s="21" t="n"/>
    </row>
    <row r="44" ht="15.75" customHeight="1" s="373" thickBot="1">
      <c r="A44" s="455" t="inlineStr">
        <is>
          <t>d</t>
        </is>
      </c>
      <c r="B44" s="456" t="inlineStr">
        <is>
          <t>Dư nợ 8710</t>
        </is>
      </c>
      <c r="C44" s="455" t="n"/>
      <c r="D44" s="591">
        <f>'so lieu'!F79</f>
        <v/>
      </c>
      <c r="E44" s="591" t="n">
        <v>5725755</v>
      </c>
      <c r="F44" s="121" t="n"/>
      <c r="G44" s="127" t="n"/>
      <c r="M44" s="593" t="n">
        <v>35642364</v>
      </c>
      <c r="P44" s="21" t="n"/>
      <c r="Q44" s="21" t="n"/>
      <c r="R44" s="21" t="n"/>
    </row>
    <row r="45" ht="29.25" customFormat="1" customHeight="1" s="21" thickBot="1">
      <c r="A45" s="115" t="n">
        <v>8</v>
      </c>
      <c r="B45" s="446" t="inlineStr">
        <is>
          <t>Tiền thuế thu nhập thực nộp trong kỳ (*) lấy theo DN TK 8331</t>
        </is>
      </c>
      <c r="C45" s="115" t="n"/>
      <c r="D45" s="585">
        <f>-'B05'!D202</f>
        <v/>
      </c>
      <c r="E45" s="585" t="n">
        <v>-3815739169</v>
      </c>
      <c r="F45" s="116" t="inlineStr">
        <is>
          <t xml:space="preserve">PSN trong kỳ TK 3531.02  </t>
        </is>
      </c>
      <c r="G45" s="451" t="inlineStr">
        <is>
          <t>như trên</t>
        </is>
      </c>
      <c r="K45" s="587" t="n">
        <v>1126221803</v>
      </c>
      <c r="L45" s="130" t="n"/>
      <c r="M45" s="588" t="n">
        <v>-3048822141</v>
      </c>
      <c r="P45" t="n"/>
      <c r="Q45" t="n"/>
    </row>
    <row r="46" ht="51" customHeight="1" s="373" thickBot="1">
      <c r="A46" s="446" t="inlineStr">
        <is>
          <t>Lưu chuyển tiền thuần từ hoạt động kinh doanh trước những thay đổi về tài sản và vốn lưu động</t>
        </is>
      </c>
      <c r="B46" s="564" t="n"/>
      <c r="C46" s="115" t="n"/>
      <c r="D46" s="585">
        <f>D14+D18+D22+D29+D33+D39+D40+D45</f>
        <v/>
      </c>
      <c r="E46" s="585" t="n">
        <v>-372090497</v>
      </c>
      <c r="F46" s="451" t="inlineStr">
        <is>
          <t>∑ (01 ÷ 08)</t>
        </is>
      </c>
      <c r="G46" s="127" t="n"/>
      <c r="L46" s="24" t="n"/>
      <c r="M46" s="593" t="n">
        <v>5100779882</v>
      </c>
      <c r="P46" s="21" t="n"/>
      <c r="Q46" s="21" t="n"/>
      <c r="R46" s="21" t="n"/>
    </row>
    <row r="47" ht="19.5" customHeight="1" s="373" thickBot="1">
      <c r="A47" s="467" t="inlineStr">
        <is>
          <t>Những thay đổi về tài sản hoạt động</t>
        </is>
      </c>
      <c r="B47" s="564" t="n"/>
      <c r="C47" s="131" t="n"/>
      <c r="D47" s="598" t="n"/>
      <c r="E47" s="598" t="n"/>
      <c r="F47" s="133" t="n"/>
      <c r="G47" s="134" t="n"/>
      <c r="L47" s="25" t="n"/>
      <c r="M47" s="593" t="n"/>
      <c r="P47" s="21" t="n"/>
      <c r="Q47" s="21" t="n"/>
      <c r="R47" s="21" t="n"/>
    </row>
    <row r="48" ht="29.25" customFormat="1" customHeight="1" s="21" thickBot="1">
      <c r="A48" s="115" t="n">
        <v>9</v>
      </c>
      <c r="B48" s="446" t="inlineStr">
        <is>
          <t xml:space="preserve">(Tăng)/Giảm các khoản tiền, vàng gửi và cho vay các TCTD khác </t>
        </is>
      </c>
      <c r="C48" s="115" t="n"/>
      <c r="D48" s="585">
        <f>D50-D49</f>
        <v/>
      </c>
      <c r="E48" s="585" t="n">
        <v>2000000000</v>
      </c>
      <c r="F48" s="451" t="inlineStr">
        <is>
          <t>(a - b)</t>
        </is>
      </c>
      <c r="G48" s="451" t="n"/>
      <c r="K48" s="587" t="n"/>
      <c r="L48" s="130" t="n"/>
      <c r="M48" s="588" t="n">
        <v>-14000000000</v>
      </c>
      <c r="P48" t="n"/>
      <c r="Q48" t="n"/>
    </row>
    <row r="49" ht="32.25" customHeight="1" s="373" thickBot="1">
      <c r="A49" s="455" t="inlineStr">
        <is>
          <t>a</t>
        </is>
      </c>
      <c r="B49" s="456" t="inlineStr">
        <is>
          <t>Số dư cuối TK 1312</t>
        </is>
      </c>
      <c r="C49" s="455" t="n"/>
      <c r="D49" s="591">
        <f>'so lieu'!F3</f>
        <v/>
      </c>
      <c r="E49" s="591" t="n">
        <v>70000000000</v>
      </c>
      <c r="F49" s="460" t="inlineStr">
        <is>
          <t>Chênh lệch số kỳ này trừ số kỳ trước của Mục III Phần A (Mẫu B02/TCTD)</t>
        </is>
      </c>
      <c r="G49" s="460" t="inlineStr">
        <is>
          <t xml:space="preserve">       như trên</t>
        </is>
      </c>
      <c r="J49" s="26" t="inlineStr">
        <is>
          <t>Vì tiền, vàng gửi &amp; cv TCTD khác cũng chính là khoản được tính trong tiền và tương đương tiền của Cty nên ko có chênh lệch.</t>
        </is>
      </c>
      <c r="M49" s="593" t="n">
        <v>-6255187889</v>
      </c>
      <c r="P49" s="21" t="n"/>
      <c r="Q49" s="21" t="n"/>
      <c r="R49" s="21" t="n"/>
    </row>
    <row r="50" ht="30" customHeight="1" s="373">
      <c r="A50" s="135" t="inlineStr">
        <is>
          <t>b</t>
        </is>
      </c>
      <c r="B50" s="456" t="inlineStr">
        <is>
          <t>Số dư đầu TK 1312</t>
        </is>
      </c>
      <c r="C50" s="135" t="n"/>
      <c r="D50" s="591">
        <f>'so lieu'!B3</f>
        <v/>
      </c>
      <c r="E50" s="591" t="n">
        <v>72000000000</v>
      </c>
      <c r="F50" s="459" t="inlineStr">
        <is>
          <t>Chênh lệch số Dư Nợ kỳ này (dư cuối kỳ) trừ số Dư Nợ kỳ trước (dư đầu kỳ) của các TK:</t>
        </is>
      </c>
      <c r="G50" s="452" t="inlineStr">
        <is>
          <t>như trên</t>
        </is>
      </c>
      <c r="H50" s="26" t="inlineStr">
        <is>
          <t>Số này phải lấy cả tiền gửi có kỳ hạn tại TCTD khác có thời gian đáo hạn &lt; 3 tháng</t>
        </is>
      </c>
      <c r="I50" s="138" t="n">
        <v>56750413797</v>
      </c>
      <c r="L50" s="18" t="inlineStr">
        <is>
          <t>Đầu kỳ: 23.797.880.010 (TM đầu kỳ: 14.055.807)</t>
        </is>
      </c>
      <c r="M50" s="593" t="n">
        <v>-20255187889</v>
      </c>
      <c r="P50" s="21" t="n"/>
      <c r="Q50" s="21" t="n"/>
      <c r="R50" s="21" t="n"/>
    </row>
    <row r="51" ht="36" customHeight="1" s="373" thickBot="1">
      <c r="A51" s="455" t="n">
        <v>10</v>
      </c>
      <c r="B51" s="456" t="inlineStr">
        <is>
          <t xml:space="preserve">(Tăng)/Giảm các khoản về kinh doanh chứng khoán </t>
        </is>
      </c>
      <c r="C51" s="455" t="n"/>
      <c r="D51" s="591">
        <f>D52+D53-D54</f>
        <v/>
      </c>
      <c r="E51" s="591" t="n">
        <v>0</v>
      </c>
      <c r="F51" s="451" t="inlineStr">
        <is>
          <t xml:space="preserve">(a + b - c) </t>
        </is>
      </c>
      <c r="G51" s="127" t="n"/>
      <c r="L51" s="18" t="inlineStr">
        <is>
          <t>Cuối kỳ: 22.534.393754 (TM cuối kỳ: 70.287.988)</t>
        </is>
      </c>
      <c r="M51" s="593" t="n">
        <v>0</v>
      </c>
      <c r="P51" s="21" t="n"/>
      <c r="Q51" s="21" t="n"/>
      <c r="R51" s="21" t="n"/>
    </row>
    <row r="52" ht="21" customHeight="1" s="373" thickBot="1">
      <c r="A52" s="455" t="inlineStr">
        <is>
          <t>a</t>
        </is>
      </c>
      <c r="B52" s="456" t="n"/>
      <c r="C52" s="455" t="n"/>
      <c r="D52" s="591" t="n"/>
      <c r="E52" s="591" t="n"/>
      <c r="F52" s="460" t="inlineStr">
        <is>
          <t>Chênh lệch số DN kỳ này trừ số DN kỳ trước của Mục IV/ Phần A (Mẫu B02/TCTD)</t>
        </is>
      </c>
      <c r="G52" s="127" t="inlineStr">
        <is>
          <t>như trên</t>
        </is>
      </c>
      <c r="M52" s="593" t="n"/>
      <c r="P52" s="21" t="n"/>
      <c r="Q52" s="21" t="n"/>
      <c r="R52" s="21" t="n"/>
    </row>
    <row r="53" ht="18.75" customHeight="1" s="373" thickBot="1">
      <c r="A53" s="455" t="inlineStr">
        <is>
          <t>b</t>
        </is>
      </c>
      <c r="B53" s="455" t="n"/>
      <c r="C53" s="455" t="n"/>
      <c r="D53" s="591" t="n"/>
      <c r="E53" s="591" t="n"/>
      <c r="F53" s="460" t="inlineStr">
        <is>
          <t>Chênh lệch số kỳ này với số kỳ trước Mục VII/ Phần A (Mẫu B02/TCTD)</t>
        </is>
      </c>
      <c r="G53" s="127" t="inlineStr">
        <is>
          <t>như trên</t>
        </is>
      </c>
      <c r="M53" s="593" t="n"/>
      <c r="P53" s="21" t="n"/>
      <c r="Q53" s="21" t="n"/>
      <c r="R53" s="21" t="n"/>
    </row>
    <row r="54" ht="21.75" customHeight="1" s="373" thickBot="1">
      <c r="A54" s="455" t="inlineStr">
        <is>
          <t>c</t>
        </is>
      </c>
      <c r="B54" s="456" t="n"/>
      <c r="C54" s="455" t="n"/>
      <c r="D54" s="591" t="n"/>
      <c r="E54" s="591" t="n"/>
      <c r="F54" s="460" t="inlineStr">
        <is>
          <t>Chênh lệch số dư Nợ kỳ này trừ đi số dư Nợ kỳ trước các TK: Chứng khoán có thời hạn thu hồi hoặc đáo hạn dưới 3 tháng.</t>
        </is>
      </c>
      <c r="G54" s="121" t="inlineStr">
        <is>
          <t xml:space="preserve">  như trên</t>
        </is>
      </c>
      <c r="M54" s="593" t="n"/>
      <c r="P54" s="21" t="n"/>
      <c r="Q54" s="21" t="n"/>
      <c r="R54" s="21" t="n"/>
    </row>
    <row r="55" ht="32.25" customHeight="1" s="373" thickBot="1">
      <c r="A55" s="455" t="n">
        <v>11</v>
      </c>
      <c r="B55" s="456" t="inlineStr">
        <is>
          <t xml:space="preserve">(Tăng)/Giảm các công cụ tài chính phái sinh và các tài sản tài chính khác </t>
        </is>
      </c>
      <c r="C55" s="455" t="n"/>
      <c r="D55" s="591" t="n"/>
      <c r="E55" s="591" t="n"/>
      <c r="F55" s="460" t="inlineStr">
        <is>
          <t>Chênh lệch Số kỳ này - Số kỳ trước của Mục V/phần A Mẫu B02/TCTD</t>
        </is>
      </c>
      <c r="G55" s="127" t="inlineStr">
        <is>
          <t>như trên</t>
        </is>
      </c>
      <c r="M55" s="593" t="n"/>
      <c r="P55" s="21" t="n"/>
      <c r="Q55" s="21" t="n"/>
      <c r="R55" s="21" t="n"/>
    </row>
    <row r="56" ht="32.25" customHeight="1" s="373" thickBot="1">
      <c r="A56" s="455" t="n">
        <v>12</v>
      </c>
      <c r="B56" s="456" t="inlineStr">
        <is>
          <t xml:space="preserve">(Tăng)/Giảm các khoản cho vay khách hàng </t>
        </is>
      </c>
      <c r="C56" s="455" t="n"/>
      <c r="D56" s="591" t="n"/>
      <c r="E56" s="591" t="n"/>
      <c r="F56" s="460" t="inlineStr">
        <is>
          <t>Chênh lệch Số kỳ này - Số kỳ trước của điểm 1 Mục VI phần A Mẫu B02/TCTD</t>
        </is>
      </c>
      <c r="G56" s="127" t="inlineStr">
        <is>
          <t>như trên</t>
        </is>
      </c>
      <c r="M56" s="593" t="n"/>
      <c r="P56" s="21" t="n"/>
      <c r="Q56" s="21" t="n"/>
      <c r="R56" s="21" t="n"/>
    </row>
    <row r="57" ht="36.75" customHeight="1" s="373" thickBot="1">
      <c r="A57" s="455" t="n">
        <v>13</v>
      </c>
      <c r="B57" s="456" t="inlineStr">
        <is>
          <t xml:space="preserve">Giảm nguồn dự phòng để bù đắp tổn thất các khoản </t>
        </is>
      </c>
      <c r="C57" s="455" t="n"/>
      <c r="D57" s="591" t="n"/>
      <c r="E57" s="591" t="n"/>
      <c r="F57" s="121" t="inlineStr">
        <is>
          <t>Phát sinh Nợ các TK 129, 149, 169 (phần xử lý giảm giá thực tế…), 209, 219, 229, 239, 249, 259, 269, 279, 289, 299 (phần sử dụng dự phòng để xử lý rủi ro TD)</t>
        </is>
      </c>
      <c r="G57" s="127" t="inlineStr">
        <is>
          <t>như trên</t>
        </is>
      </c>
      <c r="M57" s="593" t="n"/>
      <c r="P57" s="21" t="n"/>
      <c r="Q57" s="21" t="n"/>
      <c r="R57" s="21" t="n"/>
    </row>
    <row r="58" ht="15.75" customFormat="1" customHeight="1" s="21" thickBot="1">
      <c r="A58" s="115" t="n">
        <v>14</v>
      </c>
      <c r="B58" s="446" t="inlineStr">
        <is>
          <t xml:space="preserve">(Tăng)/giảm về tài sản hoạt động </t>
        </is>
      </c>
      <c r="C58" s="115" t="n"/>
      <c r="D58" s="585">
        <f>-(D59+D60+D61)</f>
        <v/>
      </c>
      <c r="E58" s="585" t="n">
        <v>925671808</v>
      </c>
      <c r="F58" s="451" t="inlineStr">
        <is>
          <t>(a + b - c)</t>
        </is>
      </c>
      <c r="G58" s="451" t="n"/>
      <c r="H58" s="21" t="inlineStr">
        <is>
          <t>Nếu là tăng thì để dấu (-)</t>
        </is>
      </c>
      <c r="K58" s="587" t="n"/>
      <c r="M58" s="588" t="n">
        <v>11037624321</v>
      </c>
    </row>
    <row r="59" ht="30.75" customHeight="1" s="373" thickBot="1">
      <c r="A59" s="455" t="inlineStr">
        <is>
          <t>a</t>
        </is>
      </c>
      <c r="B59" s="456" t="inlineStr">
        <is>
          <t>Tăng giảm các khoản phải thu</t>
        </is>
      </c>
      <c r="C59" s="455" t="n"/>
      <c r="D59" s="599">
        <f>'B02'!D53-'B02'!E53</f>
        <v/>
      </c>
      <c r="E59" s="599" t="n">
        <v>2124189112</v>
      </c>
      <c r="F59" s="121" t="inlineStr">
        <is>
          <t>Chênh lệch số kỳ này với số kỳ trước của Điểm 1/ Mục XI/ Phần A (Mẫu B02/TCTD).</t>
        </is>
      </c>
      <c r="G59" s="127" t="inlineStr">
        <is>
          <t>như trên</t>
        </is>
      </c>
      <c r="M59" s="593" t="n">
        <v>-10141611913</v>
      </c>
      <c r="P59" s="21" t="n"/>
      <c r="Q59" s="21" t="n"/>
      <c r="R59" s="21" t="n"/>
    </row>
    <row r="60" ht="30.75" customHeight="1" s="373" thickBot="1">
      <c r="A60" s="455" t="inlineStr">
        <is>
          <t>b</t>
        </is>
      </c>
      <c r="B60" s="456" t="inlineStr">
        <is>
          <t>Tăng giảm TSC khác</t>
        </is>
      </c>
      <c r="C60" s="455" t="n"/>
      <c r="D60" s="591">
        <f>'B02'!D56-'B02'!E56</f>
        <v/>
      </c>
      <c r="E60" s="591" t="n">
        <v>-175932000</v>
      </c>
      <c r="F60" s="121" t="inlineStr">
        <is>
          <t>Chênh lệch số kỳ này trừ số kỳ trước của Điểm 4/ Mục XI/ Phần A (Mẫu B02/TCTD)</t>
        </is>
      </c>
      <c r="G60" s="127" t="inlineStr">
        <is>
          <t>như trên</t>
        </is>
      </c>
      <c r="M60" s="593" t="n">
        <v>-103043592</v>
      </c>
      <c r="P60" s="21" t="n"/>
      <c r="Q60" s="21" t="n"/>
      <c r="R60" s="21" t="n"/>
    </row>
    <row r="61" ht="45.75" customHeight="1" s="373" thickBot="1">
      <c r="A61" s="455" t="inlineStr">
        <is>
          <t>c</t>
        </is>
      </c>
      <c r="B61" s="456" t="inlineStr">
        <is>
          <t>Chênh lệch thuế TNDN thực nộp và phải nộp</t>
        </is>
      </c>
      <c r="C61" s="455" t="n"/>
      <c r="D61" s="591">
        <f>'B05'!C202-'B05'!D202</f>
        <v/>
      </c>
      <c r="E61" s="591" t="n">
        <v>-2873928920</v>
      </c>
      <c r="F61" s="121" t="inlineStr">
        <is>
          <t>Chênh lệch số kỳ này trừ số kỳ trước của Điểm 3, Điểm 4/Mục VIII/Phần B (Mẫu B02/TCTD).</t>
        </is>
      </c>
      <c r="G61" s="127" t="inlineStr">
        <is>
          <t>như trên</t>
        </is>
      </c>
      <c r="M61" s="593" t="n">
        <v>-792968816</v>
      </c>
      <c r="O61" s="600" t="n"/>
      <c r="P61" s="21" t="n"/>
      <c r="Q61" s="21" t="n"/>
      <c r="R61" s="21" t="n"/>
    </row>
    <row r="62" ht="16.5" customHeight="1" s="373" thickBot="1">
      <c r="A62" s="467" t="inlineStr">
        <is>
          <t>Những thay đổi về công nợ hoạt động</t>
        </is>
      </c>
      <c r="B62" s="564" t="n"/>
      <c r="C62" s="115" t="n"/>
      <c r="D62" s="591" t="n"/>
      <c r="E62" s="591" t="n"/>
      <c r="F62" s="121" t="n"/>
      <c r="G62" s="127" t="n"/>
      <c r="M62" s="593" t="n"/>
      <c r="P62" s="21" t="n"/>
      <c r="Q62" s="21" t="n"/>
      <c r="R62" s="21" t="n"/>
    </row>
    <row r="63" ht="32.25" customHeight="1" s="373" thickBot="1">
      <c r="A63" s="455" t="n">
        <v>15</v>
      </c>
      <c r="B63" s="456" t="inlineStr">
        <is>
          <t xml:space="preserve">Tăng/(Giảm) các khoản nợ chính phủ và NHNN </t>
        </is>
      </c>
      <c r="C63" s="455" t="n"/>
      <c r="D63" s="591" t="n"/>
      <c r="E63" s="591" t="n"/>
      <c r="F63" s="121" t="inlineStr">
        <is>
          <t>Chênh lệch số kỳ này với số kỳ trước của Mục I/ Phần B (Mẫu B02/TCTD).</t>
        </is>
      </c>
      <c r="G63" s="127" t="inlineStr">
        <is>
          <t>như trên</t>
        </is>
      </c>
      <c r="M63" s="593" t="n"/>
      <c r="P63" s="21" t="n"/>
      <c r="Q63" s="21" t="n"/>
      <c r="R63" s="21" t="n"/>
    </row>
    <row r="64" ht="48" customHeight="1" s="373" thickBot="1">
      <c r="A64" s="455" t="n">
        <v>16</v>
      </c>
      <c r="B64" s="456" t="inlineStr">
        <is>
          <t>Tăng/(Giảm) các khoản tiền gửi, tiền vay các TCTD</t>
        </is>
      </c>
      <c r="C64" s="455" t="n"/>
      <c r="D64" s="591" t="n"/>
      <c r="E64" s="591" t="n"/>
      <c r="F64" s="121" t="inlineStr">
        <is>
          <t xml:space="preserve">Chênh lệch số dư Có kỳ này trừ số dư Có kỳ trước của Mục II/ Phần B (Mẫu B02/TCTD) </t>
        </is>
      </c>
      <c r="G64" s="127" t="inlineStr">
        <is>
          <t>như trên</t>
        </is>
      </c>
      <c r="M64" s="593" t="n"/>
      <c r="P64" s="21" t="n"/>
      <c r="Q64" s="21" t="n"/>
      <c r="R64" s="21" t="n"/>
    </row>
    <row r="65" ht="32.25" customHeight="1" s="373" thickBot="1">
      <c r="A65" s="455" t="n">
        <v>17</v>
      </c>
      <c r="B65" s="456" t="inlineStr">
        <is>
          <t xml:space="preserve">Tăng/(Giảm) tiền gửi của khách hàng </t>
        </is>
      </c>
      <c r="C65" s="455" t="n"/>
      <c r="D65" s="591">
        <f>'B02'!D65</f>
        <v/>
      </c>
      <c r="E65" s="591" t="n">
        <v>0</v>
      </c>
      <c r="F65" s="139" t="inlineStr">
        <is>
          <t xml:space="preserve"> Chênh lệch số kỳ này trừ số kỳ trước của Mục III/Phần B (Mẫu B02/TCTD) </t>
        </is>
      </c>
      <c r="G65" s="127" t="n"/>
      <c r="M65" s="593" t="n"/>
      <c r="P65" s="21" t="n"/>
      <c r="Q65" s="21" t="n"/>
      <c r="R65" s="21" t="n"/>
    </row>
    <row r="66" ht="15.75" customHeight="1" s="373">
      <c r="A66" s="455" t="n">
        <v>18</v>
      </c>
      <c r="B66" s="456" t="inlineStr">
        <is>
          <t>Tăng/(Giảm)phát hành giấy tờ có giá (ngoại trừ giấy tờ có giá ph/hành được tính vào h/động tài chính</t>
        </is>
      </c>
      <c r="C66" s="455" t="n"/>
      <c r="D66" s="591" t="n"/>
      <c r="E66" s="591" t="n"/>
      <c r="F66" s="140" t="n"/>
      <c r="G66" s="601" t="n"/>
      <c r="M66" s="593" t="n"/>
      <c r="P66" s="21" t="n"/>
      <c r="Q66" s="21" t="n"/>
      <c r="R66" s="21" t="n"/>
    </row>
    <row r="67" ht="16.5" customHeight="1" s="373" thickBot="1">
      <c r="A67" s="545" t="n"/>
      <c r="B67" s="545" t="n"/>
      <c r="C67" s="545" t="n"/>
      <c r="D67" s="545" t="n"/>
      <c r="E67" s="545" t="n"/>
      <c r="F67" s="451" t="inlineStr">
        <is>
          <t xml:space="preserve">( a - b) </t>
        </is>
      </c>
      <c r="G67" s="560" t="n"/>
      <c r="M67" s="593" t="n"/>
      <c r="P67" s="21" t="n"/>
      <c r="Q67" s="21" t="n"/>
      <c r="R67" s="21" t="n"/>
    </row>
    <row r="68" ht="20.25" customHeight="1" s="373" thickBot="1">
      <c r="A68" s="455" t="inlineStr">
        <is>
          <t>a</t>
        </is>
      </c>
      <c r="B68" s="456" t="n"/>
      <c r="C68" s="455" t="n"/>
      <c r="D68" s="591" t="n"/>
      <c r="E68" s="591" t="n"/>
      <c r="F68" s="121" t="inlineStr">
        <is>
          <t>Chênh lệch số kỳ này với số kỳ trước của Mục VI/ Phần B (Mẫu B02/TCTD).</t>
        </is>
      </c>
      <c r="G68" s="127" t="inlineStr">
        <is>
          <t>như trên</t>
        </is>
      </c>
      <c r="M68" s="593" t="n"/>
      <c r="P68" s="21" t="n"/>
      <c r="Q68" s="21" t="n"/>
      <c r="R68" s="21" t="n"/>
    </row>
    <row r="69" ht="21.75" customHeight="1" s="373" thickBot="1">
      <c r="A69" s="455" t="inlineStr">
        <is>
          <t>b</t>
        </is>
      </c>
      <c r="B69" s="456" t="n"/>
      <c r="C69" s="455" t="n"/>
      <c r="D69" s="591" t="n"/>
      <c r="E69" s="591" t="n"/>
      <c r="F69" s="121" t="inlineStr">
        <is>
          <t>GTCG dài hạn được tính vào hoạt động tài chính</t>
        </is>
      </c>
      <c r="G69" s="127" t="n"/>
      <c r="M69" s="593" t="n"/>
      <c r="P69" s="21" t="n"/>
      <c r="Q69" s="21" t="n"/>
      <c r="R69" s="21" t="n"/>
    </row>
    <row r="70" ht="32.25" customHeight="1" s="373" thickBot="1">
      <c r="A70" s="455" t="n">
        <v>19</v>
      </c>
      <c r="B70" s="456" t="inlineStr">
        <is>
          <t>Tăng/(Giảm) vốn tài trợ uỷ thác đầu tư, cho vay mà TCTD chịu rủi ro</t>
        </is>
      </c>
      <c r="C70" s="455" t="n"/>
      <c r="D70" s="591" t="n"/>
      <c r="E70" s="591" t="n"/>
      <c r="F70" s="121" t="inlineStr">
        <is>
          <t>Chênh lệch số kỳ này với số kỳ trước của Mục V/ Phần B (Mẫu B02/TCTD).</t>
        </is>
      </c>
      <c r="G70" s="127" t="inlineStr">
        <is>
          <t>như trên</t>
        </is>
      </c>
      <c r="M70" s="593" t="n"/>
      <c r="P70" s="21" t="n"/>
      <c r="Q70" s="21" t="n"/>
      <c r="R70" s="21" t="n"/>
    </row>
    <row r="71" ht="32.25" customHeight="1" s="373" thickBot="1">
      <c r="A71" s="455" t="n">
        <v>20</v>
      </c>
      <c r="B71" s="456" t="inlineStr">
        <is>
          <t xml:space="preserve">Tăng/(Giảm) các công cụ tài chính phái sinh và các khoản nợ tài chính khác </t>
        </is>
      </c>
      <c r="C71" s="455" t="n"/>
      <c r="D71" s="591" t="n"/>
      <c r="E71" s="591" t="n"/>
      <c r="F71" s="121" t="inlineStr">
        <is>
          <t>Chênh lệch số kỳ này với số kỳ trước của Mục IV/ Phần B (Mẫu B02/TCTD).</t>
        </is>
      </c>
      <c r="G71" s="127" t="inlineStr">
        <is>
          <t>như trên</t>
        </is>
      </c>
      <c r="M71" s="593" t="n"/>
      <c r="P71" s="21" t="n"/>
      <c r="Q71" s="21" t="n"/>
      <c r="R71" s="21" t="n"/>
    </row>
    <row r="72" ht="15.75" customFormat="1" customHeight="1" s="21" thickBot="1">
      <c r="A72" s="115" t="n">
        <v>21</v>
      </c>
      <c r="B72" s="446" t="inlineStr">
        <is>
          <t>Tăng/(Giảm) khác về công nợ hoạt động</t>
        </is>
      </c>
      <c r="C72" s="115" t="n"/>
      <c r="D72" s="585">
        <f>D73+D76-D77+D78</f>
        <v/>
      </c>
      <c r="E72" s="585" t="n">
        <v>-19548124888</v>
      </c>
      <c r="F72" s="451" t="inlineStr">
        <is>
          <t>(a + b - c)</t>
        </is>
      </c>
      <c r="G72" s="451" t="n"/>
      <c r="K72" s="587" t="n"/>
      <c r="M72" s="588" t="n">
        <v>-22337581125</v>
      </c>
      <c r="N72" s="589">
        <f>D72-M72</f>
        <v/>
      </c>
    </row>
    <row r="73" ht="15.75" customHeight="1" s="373" thickBot="1">
      <c r="A73" s="455" t="inlineStr">
        <is>
          <t>A</t>
        </is>
      </c>
      <c r="B73" s="141" t="inlineStr">
        <is>
          <t>(Kỳ này - kỳ trước) điểm 3/mục VII/ phần B (B02)</t>
        </is>
      </c>
      <c r="C73" s="455" t="n"/>
      <c r="D73" s="602">
        <f>'B02'!D73-'B02'!E73</f>
        <v/>
      </c>
      <c r="E73" s="602" t="n">
        <v>-21909884524</v>
      </c>
      <c r="F73" s="451" t="n"/>
      <c r="G73" s="127" t="n"/>
      <c r="M73" s="593" t="n">
        <v>-15139917973</v>
      </c>
      <c r="N73" s="589">
        <f>D73-M73</f>
        <v/>
      </c>
      <c r="P73" s="21" t="n"/>
      <c r="Q73" s="21" t="n"/>
      <c r="R73" s="21" t="n"/>
    </row>
    <row r="74" hidden="1" ht="17.25" customHeight="1" s="373" thickBot="1">
      <c r="A74" s="455" t="n"/>
      <c r="B74" s="142" t="inlineStr">
        <is>
          <t>Kỳ này - quỹ TCTD kỳ này</t>
        </is>
      </c>
      <c r="C74" s="455" t="n"/>
      <c r="D74" s="602" t="n"/>
      <c r="E74" s="602" t="n"/>
      <c r="F74" s="451" t="n"/>
      <c r="G74" s="127" t="n"/>
      <c r="L74" s="18" t="inlineStr">
        <is>
          <t>số dư 62 cuối kỳ: 514.487.600</t>
        </is>
      </c>
      <c r="M74" s="593" t="n"/>
      <c r="N74" s="589">
        <f>D74-M74</f>
        <v/>
      </c>
      <c r="P74" s="21" t="n"/>
      <c r="Q74" s="21" t="n"/>
      <c r="R74" s="21" t="n"/>
    </row>
    <row r="75" hidden="1" ht="17.25" customHeight="1" s="373" thickBot="1">
      <c r="A75" s="455" t="n"/>
      <c r="B75" s="142" t="inlineStr">
        <is>
          <t>Kỳ trước - quỹ TCTD kỳ trước</t>
        </is>
      </c>
      <c r="C75" s="455" t="n"/>
      <c r="D75" s="602" t="n"/>
      <c r="E75" s="602" t="n"/>
      <c r="F75" s="451" t="n"/>
      <c r="G75" s="127" t="n"/>
      <c r="L75" s="18" t="inlineStr">
        <is>
          <t>Số dư 62 đầu kỳ: 0</t>
        </is>
      </c>
      <c r="M75" s="593" t="n"/>
      <c r="N75" s="589">
        <f>D75-M75</f>
        <v/>
      </c>
      <c r="P75" s="21" t="n"/>
      <c r="Q75" s="21" t="n"/>
      <c r="R75" s="21" t="n"/>
    </row>
    <row r="76" ht="17.25" customHeight="1" s="373" thickBot="1">
      <c r="A76" s="455" t="inlineStr">
        <is>
          <t>B</t>
        </is>
      </c>
      <c r="B76" s="141" t="inlineStr">
        <is>
          <t>(Kỳ này - kỳ trước) điểm 4/mục VII/ phần B (B02)</t>
        </is>
      </c>
      <c r="C76" s="455" t="n"/>
      <c r="D76" s="602">
        <f>'B02'!D74-'B02'!E74</f>
        <v/>
      </c>
      <c r="E76" s="602" t="n">
        <v>0</v>
      </c>
      <c r="F76" s="451" t="n"/>
      <c r="G76" s="127" t="n"/>
      <c r="M76" s="593" t="n">
        <v>0</v>
      </c>
      <c r="N76" s="589">
        <f>D76-M76</f>
        <v/>
      </c>
      <c r="O76" s="244" t="n"/>
      <c r="P76" s="21" t="n"/>
      <c r="Q76" s="21" t="n"/>
      <c r="R76" s="21" t="n"/>
    </row>
    <row r="77" ht="15.75" customHeight="1" s="373" thickBot="1">
      <c r="A77" s="455" t="inlineStr">
        <is>
          <t>C</t>
        </is>
      </c>
      <c r="B77" s="141" t="inlineStr">
        <is>
          <t>(Kỳ này - kỳ trước) TK 4620(số dư cuối trừ số dư đầu năm)</t>
        </is>
      </c>
      <c r="C77" s="455" t="n"/>
      <c r="D77" s="602">
        <f>'so lieu'!G31-D41</f>
        <v/>
      </c>
      <c r="E77" s="602" t="n">
        <v>-2361759636</v>
      </c>
      <c r="F77" s="451" t="n"/>
      <c r="G77" s="127" t="n"/>
      <c r="M77" s="593" t="n">
        <v>597388690</v>
      </c>
      <c r="N77" s="589">
        <f>D77-M77</f>
        <v/>
      </c>
      <c r="O77" s="244" t="n"/>
      <c r="P77" s="21" t="n"/>
      <c r="Q77" s="21" t="n"/>
      <c r="R77" s="21" t="n"/>
    </row>
    <row r="78" ht="15.75" customHeight="1" s="373" thickBot="1">
      <c r="A78" s="455" t="n"/>
      <c r="B78" s="141" t="inlineStr">
        <is>
          <t>Tăng (giảm) Quỹ khen thưởng, phúc lợi (phát sinh trong kỳ 692001)</t>
        </is>
      </c>
      <c r="C78" s="455" t="n"/>
      <c r="D78" s="603" t="n"/>
      <c r="E78" s="603" t="n">
        <v>0</v>
      </c>
      <c r="F78" s="451" t="n"/>
      <c r="G78" s="127" t="n"/>
      <c r="M78" s="593" t="n">
        <v>-6600274462</v>
      </c>
      <c r="N78" s="589">
        <f>D78-M78</f>
        <v/>
      </c>
      <c r="O78" s="604" t="n"/>
      <c r="P78" s="21" t="n"/>
      <c r="Q78" s="21" t="n"/>
      <c r="R78" s="21" t="n"/>
    </row>
    <row r="79" hidden="1" ht="14.25" customHeight="1" s="373" thickBot="1">
      <c r="A79" s="455" t="n"/>
      <c r="B79" s="143" t="inlineStr">
        <is>
          <t>PSC TK62</t>
        </is>
      </c>
      <c r="C79" s="455" t="n"/>
      <c r="D79" s="591" t="n"/>
      <c r="E79" s="591" t="n"/>
      <c r="F79" s="451" t="n"/>
      <c r="G79" s="127" t="n"/>
      <c r="M79" s="593" t="n"/>
      <c r="P79" s="21" t="n"/>
      <c r="Q79" s="21" t="n"/>
      <c r="R79" s="21" t="n"/>
    </row>
    <row r="80" hidden="1" ht="14.25" customHeight="1" s="373" thickBot="1">
      <c r="A80" s="455" t="n"/>
      <c r="B80" s="143" t="inlineStr">
        <is>
          <t>PSC 61</t>
        </is>
      </c>
      <c r="C80" s="455" t="n"/>
      <c r="D80" s="591" t="n"/>
      <c r="E80" s="591" t="n"/>
      <c r="F80" s="451" t="n"/>
      <c r="G80" s="127" t="n"/>
      <c r="M80" s="593" t="n"/>
      <c r="O80" s="605" t="n"/>
      <c r="P80" s="21" t="n"/>
      <c r="Q80" s="21" t="n"/>
      <c r="R80" s="21" t="n"/>
    </row>
    <row r="81" hidden="1" ht="14.25" customHeight="1" s="373" thickBot="1">
      <c r="A81" s="455" t="n"/>
      <c r="B81" s="143" t="inlineStr">
        <is>
          <t>PSN TK69</t>
        </is>
      </c>
      <c r="C81" s="455" t="n"/>
      <c r="D81" s="591" t="n"/>
      <c r="E81" s="591" t="n"/>
      <c r="F81" s="451" t="n"/>
      <c r="G81" s="127" t="n"/>
      <c r="M81" s="593" t="n"/>
      <c r="O81" s="221" t="n"/>
      <c r="P81" s="21" t="n"/>
      <c r="Q81" s="21" t="n"/>
      <c r="R81" s="21" t="n"/>
    </row>
    <row r="82" hidden="1" ht="45.75" customHeight="1" s="373" thickBot="1">
      <c r="A82" s="455" t="n"/>
      <c r="B82" s="144" t="inlineStr">
        <is>
          <t>PSC TK69 (lãi dự thu năm 2012 hạch toán bổ sung vào Lợi nhuận theo kết quả Kiểm toán)</t>
        </is>
      </c>
      <c r="C82" s="455" t="n"/>
      <c r="D82" s="591" t="n"/>
      <c r="E82" s="591" t="n"/>
      <c r="F82" s="451" t="n"/>
      <c r="G82" s="127" t="n"/>
      <c r="M82" s="593" t="n"/>
      <c r="P82" s="21" t="n"/>
      <c r="Q82" s="21" t="n"/>
      <c r="R82" s="21" t="n"/>
    </row>
    <row r="83" ht="20.25" customFormat="1" customHeight="1" s="21" thickBot="1">
      <c r="A83" s="115" t="n">
        <v>22</v>
      </c>
      <c r="B83" s="446" t="inlineStr">
        <is>
          <t>Chi từ các quỹ của TCTD (*)</t>
        </is>
      </c>
      <c r="C83" s="115" t="n"/>
      <c r="D83" s="585" t="n"/>
      <c r="E83" s="585" t="n"/>
      <c r="F83" s="116" t="inlineStr">
        <is>
          <t>Số phát sinh nợ TK 61, 62 (số thực tế chi ra)</t>
        </is>
      </c>
      <c r="G83" s="451" t="inlineStr">
        <is>
          <t>như trên</t>
        </is>
      </c>
      <c r="K83" s="587" t="n"/>
      <c r="M83" s="588" t="n">
        <v>0</v>
      </c>
    </row>
    <row r="84" ht="29.25" customHeight="1" s="373" thickBot="1">
      <c r="A84" s="115" t="inlineStr">
        <is>
          <t>I</t>
        </is>
      </c>
      <c r="B84" s="446" t="inlineStr">
        <is>
          <t>Lưu chuyển tiền thuần từ hoạt động kinh doanh</t>
        </is>
      </c>
      <c r="C84" s="455" t="n"/>
      <c r="D84" s="585">
        <f>D46+D48+D51+D55+D56+D57+D58+D63+D64+D65+D66+D70+D71+D72+D83</f>
        <v/>
      </c>
      <c r="E84" s="585" t="n">
        <v>-16994543577</v>
      </c>
      <c r="F84" s="127" t="inlineStr">
        <is>
          <t>∑ (01 ÷ 22)</t>
        </is>
      </c>
      <c r="G84" s="127" t="inlineStr">
        <is>
          <t>như trên</t>
        </is>
      </c>
      <c r="M84" s="593" t="n">
        <v>-20199176922</v>
      </c>
      <c r="P84" s="21" t="n"/>
      <c r="Q84" s="21" t="n"/>
      <c r="R84" s="21" t="n"/>
    </row>
    <row r="85" ht="15.75" customHeight="1" s="373" thickBot="1">
      <c r="A85" s="446" t="inlineStr">
        <is>
          <t>Lưu chuyển tiền từ hoạt động đầu tư</t>
        </is>
      </c>
      <c r="B85" s="564" t="n"/>
      <c r="C85" s="115" t="n"/>
      <c r="D85" s="591" t="n"/>
      <c r="E85" s="591" t="n"/>
      <c r="F85" s="121" t="n"/>
      <c r="G85" s="127" t="n"/>
      <c r="M85" s="593" t="n"/>
      <c r="P85" s="21" t="n"/>
      <c r="Q85" s="21" t="n"/>
      <c r="R85" s="21" t="n"/>
    </row>
    <row r="86" ht="15.75" customHeight="1" s="373" thickBot="1">
      <c r="A86" s="455" t="n">
        <v>1</v>
      </c>
      <c r="B86" s="456" t="inlineStr">
        <is>
          <t>Mua sắm TSCĐ (*)</t>
        </is>
      </c>
      <c r="C86" s="115" t="n"/>
      <c r="D86" s="585">
        <f>D87-D88+D89</f>
        <v/>
      </c>
      <c r="E86" s="585" t="n">
        <v>0</v>
      </c>
      <c r="F86" s="451" t="inlineStr">
        <is>
          <t xml:space="preserve"> (a - b)</t>
        </is>
      </c>
      <c r="G86" s="127" t="n"/>
      <c r="M86" s="593" t="n">
        <v>0</v>
      </c>
      <c r="P86" s="21" t="n"/>
      <c r="Q86" s="21" t="n"/>
      <c r="R86" s="21" t="n"/>
    </row>
    <row r="87" ht="21.75" customHeight="1" s="373" thickBot="1">
      <c r="A87" s="455" t="inlineStr">
        <is>
          <t>a</t>
        </is>
      </c>
      <c r="B87" s="456" t="n"/>
      <c r="C87" s="115" t="n"/>
      <c r="D87" s="591">
        <f>SUM('so lieu'!D5:D8)</f>
        <v/>
      </c>
      <c r="E87" s="591" t="n">
        <v>0</v>
      </c>
      <c r="F87" s="121" t="inlineStr">
        <is>
          <t>Số phát sinh nợ TK 301, 302, 303, 32 (Số thực tế chi ra)</t>
        </is>
      </c>
      <c r="G87" s="127" t="inlineStr">
        <is>
          <t>như trên</t>
        </is>
      </c>
      <c r="M87" s="593" t="n">
        <v>0</v>
      </c>
      <c r="P87" s="21" t="n"/>
      <c r="Q87" s="21" t="n"/>
      <c r="R87" s="21" t="n"/>
    </row>
    <row r="88" ht="21" customHeight="1" s="373" thickBot="1">
      <c r="A88" s="455" t="inlineStr">
        <is>
          <t>b</t>
        </is>
      </c>
      <c r="B88" s="456" t="n"/>
      <c r="C88" s="115" t="n"/>
      <c r="D88" s="591" t="n">
        <v>0</v>
      </c>
      <c r="E88" s="591" t="n">
        <v>0</v>
      </c>
      <c r="F88" s="121" t="inlineStr">
        <is>
          <t>Điều chuyển TSCĐ nội bộ  (P.QLTC cung cấp số liệu)</t>
        </is>
      </c>
      <c r="G88" s="127" t="inlineStr">
        <is>
          <t>như trên</t>
        </is>
      </c>
      <c r="M88" s="593" t="n">
        <v>0</v>
      </c>
      <c r="P88" s="21" t="n"/>
      <c r="Q88" s="21" t="n"/>
      <c r="R88" s="21" t="n"/>
    </row>
    <row r="89" ht="21" customHeight="1" s="373" thickBot="1">
      <c r="A89" s="455" t="inlineStr">
        <is>
          <t>C</t>
        </is>
      </c>
      <c r="B89" s="456" t="inlineStr">
        <is>
          <t>Xuất TSCĐ thành CCDC (giá trị còn lại)</t>
        </is>
      </c>
      <c r="C89" s="115" t="n"/>
      <c r="D89" s="591" t="n">
        <v>0</v>
      </c>
      <c r="E89" s="591" t="n">
        <v>0</v>
      </c>
      <c r="F89" s="121" t="n"/>
      <c r="G89" s="127" t="n"/>
      <c r="M89" s="593" t="n">
        <v>0</v>
      </c>
      <c r="P89" s="21" t="n"/>
      <c r="Q89" s="21" t="n"/>
      <c r="R89" s="21" t="n"/>
    </row>
    <row r="90" ht="34.5" customHeight="1" s="373" thickBot="1">
      <c r="A90" s="455" t="n">
        <v>2</v>
      </c>
      <c r="B90" s="456" t="inlineStr">
        <is>
          <t>Tiền thu từ thanh lý, nhượng bán TSCĐ</t>
        </is>
      </c>
      <c r="C90" s="455" t="n"/>
      <c r="D90" s="591" t="n"/>
      <c r="E90" s="591" t="n"/>
      <c r="F90" s="121" t="inlineStr">
        <is>
          <t>DC CK TK 7900.06</t>
        </is>
      </c>
      <c r="G90" s="127" t="inlineStr">
        <is>
          <t>như trên</t>
        </is>
      </c>
      <c r="M90" s="593" t="n"/>
      <c r="P90" s="21" t="n"/>
      <c r="Q90" s="21" t="n"/>
      <c r="R90" s="21" t="n"/>
    </row>
    <row r="91" ht="32.25" customHeight="1" s="373" thickBot="1">
      <c r="A91" s="455" t="n">
        <v>3</v>
      </c>
      <c r="B91" s="456" t="inlineStr">
        <is>
          <t>Tiền chi tư thanh lý, nhượng bán TSCĐ (*)</t>
        </is>
      </c>
      <c r="C91" s="115" t="n"/>
      <c r="D91" s="591" t="n"/>
      <c r="E91" s="591" t="n"/>
      <c r="F91" s="121" t="inlineStr">
        <is>
          <t>DN CK TK 8900.06</t>
        </is>
      </c>
      <c r="G91" s="127" t="inlineStr">
        <is>
          <t>như trên</t>
        </is>
      </c>
      <c r="M91" s="593" t="n"/>
      <c r="P91" s="21" t="n"/>
      <c r="Q91" s="21" t="n"/>
      <c r="R91" s="21" t="n"/>
    </row>
    <row r="92" ht="15.75" customHeight="1" s="373" thickBot="1">
      <c r="A92" s="455" t="n">
        <v>4</v>
      </c>
      <c r="B92" s="456" t="inlineStr">
        <is>
          <t>Mua sắm bất động sản đầu tư (*)</t>
        </is>
      </c>
      <c r="C92" s="115" t="n"/>
      <c r="D92" s="591" t="n"/>
      <c r="E92" s="591" t="n"/>
      <c r="F92" s="121" t="inlineStr">
        <is>
          <t>Số phát sinh nợ TK 304</t>
        </is>
      </c>
      <c r="G92" s="127" t="inlineStr">
        <is>
          <t>như trên</t>
        </is>
      </c>
      <c r="M92" s="593" t="n"/>
      <c r="P92" s="21" t="n"/>
      <c r="Q92" s="21" t="n"/>
      <c r="R92" s="21" t="n"/>
    </row>
    <row r="93" ht="15.75" customHeight="1" s="373" thickBot="1">
      <c r="A93" s="455" t="n">
        <v>5</v>
      </c>
      <c r="B93" s="456" t="inlineStr">
        <is>
          <t>Tiền thu từ bán, thanh lý bất động sản đầu tư</t>
        </is>
      </c>
      <c r="C93" s="115" t="n"/>
      <c r="D93" s="591" t="n"/>
      <c r="E93" s="591" t="n"/>
      <c r="F93" s="121" t="inlineStr">
        <is>
          <t xml:space="preserve"> Số thực tế thu về</t>
        </is>
      </c>
      <c r="G93" s="127" t="inlineStr">
        <is>
          <t>như trên</t>
        </is>
      </c>
      <c r="M93" s="593" t="n"/>
      <c r="P93" s="21" t="n"/>
      <c r="Q93" s="21" t="n"/>
      <c r="R93" s="21" t="n"/>
    </row>
    <row r="94" ht="30.75" customHeight="1" s="373" thickBot="1">
      <c r="A94" s="455" t="n">
        <v>6</v>
      </c>
      <c r="B94" s="456" t="inlineStr">
        <is>
          <t>Tiền chi ra do bán, thanh lý bất động sản đầu tư</t>
        </is>
      </c>
      <c r="C94" s="115" t="n"/>
      <c r="D94" s="591" t="n"/>
      <c r="E94" s="591" t="n"/>
      <c r="F94" s="121" t="inlineStr">
        <is>
          <t xml:space="preserve"> Số thực tế thu về</t>
        </is>
      </c>
      <c r="G94" s="127" t="inlineStr">
        <is>
          <t>như trên</t>
        </is>
      </c>
      <c r="M94" s="593" t="n"/>
      <c r="P94" s="21" t="n"/>
      <c r="Q94" s="21" t="n"/>
      <c r="R94" s="21" t="n"/>
    </row>
    <row r="95" ht="60.75" customHeight="1" s="373" thickBot="1">
      <c r="A95" s="455" t="n">
        <v>7</v>
      </c>
      <c r="B95" s="456" t="inlineStr">
        <is>
          <t>Tiền chi đầu tư, góp vốn vào các đơn vị khác (Chi đầu tư mua công ty con, góp vốn liên doanh, liên kết và các khoản đầu tư dài hạn khác)</t>
        </is>
      </c>
      <c r="C95" s="115" t="n"/>
      <c r="D95" s="591" t="n"/>
      <c r="E95" s="591" t="n"/>
      <c r="F95" s="121" t="inlineStr">
        <is>
          <t>Phát sinh Nợ TK 341, 342, 343, 344, 345,  346,  347, 348 (Số thực tế chi ra)</t>
        </is>
      </c>
      <c r="G95" s="127" t="inlineStr">
        <is>
          <t>như trên</t>
        </is>
      </c>
      <c r="M95" s="593" t="n"/>
      <c r="P95" s="21" t="n"/>
      <c r="Q95" s="21" t="n"/>
      <c r="R95" s="21" t="n"/>
    </row>
    <row r="96" ht="60.75" customHeight="1" s="373" thickBot="1">
      <c r="A96" s="455" t="n">
        <v>8</v>
      </c>
      <c r="B96" s="456" t="inlineStr">
        <is>
          <t>Tiền thu đầu tư, góp vốn vào các đơn vị khác (Thu bán, thanh lý Công ty con, góp vốn liên doanh, liên kết, các khoản đầu tư dài hạn khác)</t>
        </is>
      </c>
      <c r="C96" s="115" t="n"/>
      <c r="D96" s="591" t="n"/>
      <c r="E96" s="591" t="n"/>
      <c r="F96" s="121" t="inlineStr">
        <is>
          <t>Phát sinh Có TK 341, 342, 343, 344, 345, 346, 347, 348 (Số thực tế thu về)</t>
        </is>
      </c>
      <c r="G96" s="127" t="inlineStr">
        <is>
          <t>như trên</t>
        </is>
      </c>
      <c r="M96" s="593" t="n"/>
      <c r="P96" s="21" t="n"/>
      <c r="Q96" s="21" t="n"/>
      <c r="R96" s="21" t="n"/>
    </row>
    <row r="97" ht="15" customHeight="1" s="373">
      <c r="A97" s="455" t="n">
        <v>9</v>
      </c>
      <c r="B97" s="456" t="inlineStr">
        <is>
          <t>Tiền thu cổ tức và lợi nhuận được chia từ các khoản đầu tư, góp vốn dài hạn</t>
        </is>
      </c>
      <c r="C97" s="455" t="n"/>
      <c r="D97" s="591" t="n"/>
      <c r="E97" s="591" t="n"/>
      <c r="F97" s="606" t="inlineStr">
        <is>
          <t xml:space="preserve"> Mục VII (mẫu B03/TCTD)</t>
        </is>
      </c>
      <c r="G97" s="601" t="inlineStr">
        <is>
          <t>như trên</t>
        </is>
      </c>
      <c r="M97" s="593" t="n"/>
      <c r="P97" s="21" t="n"/>
      <c r="Q97" s="21" t="n"/>
      <c r="R97" s="21" t="n"/>
    </row>
    <row r="98" ht="15" customHeight="1" s="373">
      <c r="A98" s="607" t="n"/>
      <c r="B98" s="607" t="n"/>
      <c r="C98" s="607" t="n"/>
      <c r="D98" s="607" t="n"/>
      <c r="E98" s="607" t="n"/>
      <c r="F98" s="608" t="n"/>
      <c r="G98" s="562" t="n"/>
      <c r="M98" s="593" t="n"/>
      <c r="P98" s="21" t="n"/>
      <c r="Q98" s="21" t="n"/>
      <c r="R98" s="21" t="n"/>
    </row>
    <row r="99" ht="15.75" customHeight="1" s="373" thickBot="1">
      <c r="A99" s="545" t="n"/>
      <c r="B99" s="545" t="n"/>
      <c r="C99" s="545" t="n"/>
      <c r="D99" s="545" t="n"/>
      <c r="E99" s="545" t="n"/>
      <c r="F99" s="567" t="n"/>
      <c r="G99" s="560" t="n"/>
      <c r="M99" s="593" t="n"/>
      <c r="P99" s="21" t="n"/>
      <c r="Q99" s="21" t="n"/>
      <c r="R99" s="21" t="n"/>
    </row>
    <row r="100" ht="29.25" customHeight="1" s="373" thickBot="1">
      <c r="A100" s="115" t="inlineStr">
        <is>
          <t>II</t>
        </is>
      </c>
      <c r="B100" s="446" t="inlineStr">
        <is>
          <t>Lưu chuyển tiền thuần từ hoạt động đầu tư</t>
        </is>
      </c>
      <c r="C100" s="115" t="n"/>
      <c r="D100" s="585">
        <f>-(D86+D90+D91+D92+D93+D94+D95+D96+D97)</f>
        <v/>
      </c>
      <c r="E100" s="585" t="n">
        <v>0</v>
      </c>
      <c r="F100" s="127" t="inlineStr">
        <is>
          <t>∑ (01 ÷ 09)</t>
        </is>
      </c>
      <c r="G100" s="451" t="n"/>
      <c r="M100" s="593" t="n">
        <v>0</v>
      </c>
      <c r="P100" s="21" t="n"/>
      <c r="Q100" s="21" t="n"/>
      <c r="R100" s="21" t="n"/>
    </row>
    <row r="101" ht="15.75" customHeight="1" s="373" thickBot="1">
      <c r="A101" s="446" t="inlineStr">
        <is>
          <t xml:space="preserve"> Lưu chuyển tiền thuần từ hoạt động tài chính</t>
        </is>
      </c>
      <c r="B101" s="564" t="n"/>
      <c r="C101" s="115" t="n"/>
      <c r="D101" s="585" t="n"/>
      <c r="E101" s="585" t="n"/>
      <c r="F101" s="116" t="n"/>
      <c r="G101" s="451" t="n"/>
      <c r="M101" s="593" t="n"/>
      <c r="P101" s="21" t="n"/>
      <c r="Q101" s="21" t="n"/>
      <c r="R101" s="21" t="n"/>
    </row>
    <row r="102" ht="30.75" customHeight="1" s="373" thickBot="1">
      <c r="A102" s="455" t="n">
        <v>1</v>
      </c>
      <c r="B102" s="456" t="inlineStr">
        <is>
          <t>Tăng vốn cổ phần từ góp vốn và/hoặc phát hành cổ phiếu</t>
        </is>
      </c>
      <c r="C102" s="455" t="n"/>
      <c r="D102" s="591">
        <f>D103+D104</f>
        <v/>
      </c>
      <c r="E102" s="591" t="n">
        <v>0</v>
      </c>
      <c r="F102" s="127" t="inlineStr">
        <is>
          <t>( a + b)</t>
        </is>
      </c>
      <c r="G102" s="127" t="n"/>
      <c r="M102" s="593" t="n">
        <v>0</v>
      </c>
      <c r="P102" s="21" t="n"/>
      <c r="Q102" s="21" t="n"/>
      <c r="R102" s="21" t="n"/>
    </row>
    <row r="103" ht="15.75" customHeight="1" s="373" thickBot="1">
      <c r="A103" s="455" t="inlineStr">
        <is>
          <t>a</t>
        </is>
      </c>
      <c r="B103" s="456" t="n"/>
      <c r="C103" s="455" t="n"/>
      <c r="D103" s="591" t="n"/>
      <c r="E103" s="591" t="n"/>
      <c r="F103" s="121" t="inlineStr">
        <is>
          <t>Phát sinh Có các TK: 601, 602, 604, 609</t>
        </is>
      </c>
      <c r="G103" s="127" t="inlineStr">
        <is>
          <t>như trên</t>
        </is>
      </c>
      <c r="M103" s="593" t="n"/>
      <c r="P103" s="21" t="n"/>
      <c r="Q103" s="21" t="n"/>
      <c r="R103" s="21" t="n"/>
    </row>
    <row r="104" ht="20.25" customHeight="1" s="373" thickBot="1">
      <c r="A104" s="455" t="inlineStr">
        <is>
          <t>b</t>
        </is>
      </c>
      <c r="B104" s="456" t="n"/>
      <c r="C104" s="455" t="n"/>
      <c r="D104" s="591" t="n"/>
      <c r="E104" s="591" t="n"/>
      <c r="F104" s="121" t="inlineStr">
        <is>
          <t>Chênh lệch Phát sinh Có – Phát sinh Nợ TK: 603</t>
        </is>
      </c>
      <c r="G104" s="127" t="inlineStr">
        <is>
          <t>như trên</t>
        </is>
      </c>
      <c r="M104" s="593" t="n"/>
      <c r="P104" s="21" t="n"/>
      <c r="Q104" s="21" t="n"/>
      <c r="R104" s="21" t="n"/>
    </row>
    <row r="105" ht="45.75" customHeight="1" s="373" thickBot="1">
      <c r="A105" s="455" t="n">
        <v>2</v>
      </c>
      <c r="B105" s="456" t="inlineStr">
        <is>
          <t>Tiền thu từ phát hành giấy tờ có giá dài hạn đủ điều kiện tính vào vốn tự có và các khoản vốn vay dài hạn khác</t>
        </is>
      </c>
      <c r="C105" s="455" t="n"/>
      <c r="D105" s="591" t="n"/>
      <c r="E105" s="591" t="n"/>
      <c r="F105" s="121" t="n"/>
      <c r="G105" s="127" t="inlineStr">
        <is>
          <t>như trên</t>
        </is>
      </c>
      <c r="M105" s="593" t="n"/>
      <c r="P105" s="21" t="n"/>
      <c r="Q105" s="21" t="n"/>
      <c r="R105" s="21" t="n"/>
    </row>
    <row r="106" ht="31.5" customHeight="1" s="373" thickBot="1">
      <c r="A106" s="455" t="n">
        <v>3</v>
      </c>
      <c r="B106" s="456" t="inlineStr">
        <is>
          <t>Tiền chi thanh toán giấy tờ có giá dài hạn đu điều kiện tính vào vốn tự có và các khoản vốn vay dài hạn khác</t>
        </is>
      </c>
      <c r="C106" s="115" t="n"/>
      <c r="D106" s="591" t="n"/>
      <c r="E106" s="591" t="n"/>
      <c r="F106" s="121" t="n"/>
      <c r="G106" s="127" t="inlineStr">
        <is>
          <t>như trên</t>
        </is>
      </c>
      <c r="M106" s="593" t="n"/>
      <c r="P106" s="21" t="n"/>
      <c r="Q106" s="21" t="n"/>
      <c r="R106" s="21" t="n"/>
    </row>
    <row r="107" ht="48.75" customHeight="1" s="373" thickBot="1">
      <c r="A107" s="455" t="n">
        <v>4</v>
      </c>
      <c r="B107" s="456" t="inlineStr">
        <is>
          <t>Cổ tức trả cho cổ đông, lợi nhuận đã chia</t>
        </is>
      </c>
      <c r="C107" s="115" t="n"/>
      <c r="D107" s="591" t="n"/>
      <c r="E107" s="591" t="n"/>
      <c r="F107" s="121" t="n"/>
      <c r="G107" s="127" t="inlineStr">
        <is>
          <t>như trên</t>
        </is>
      </c>
      <c r="M107" s="593" t="n"/>
      <c r="P107" s="21" t="n"/>
      <c r="Q107" s="21" t="n"/>
      <c r="R107" s="21" t="n"/>
    </row>
    <row r="108" ht="15.75" customHeight="1" s="373" thickBot="1">
      <c r="A108" s="455" t="n">
        <v>5</v>
      </c>
      <c r="B108" s="456" t="inlineStr">
        <is>
          <t>Tiền chi ra mua cổ phiếu quỹ (*)</t>
        </is>
      </c>
      <c r="C108" s="455" t="n"/>
      <c r="D108" s="591" t="n"/>
      <c r="E108" s="591" t="n"/>
      <c r="F108" s="121" t="inlineStr">
        <is>
          <t>Số Phát sinh Nợ TK 604</t>
        </is>
      </c>
      <c r="G108" s="127" t="inlineStr">
        <is>
          <t>như trên</t>
        </is>
      </c>
      <c r="M108" s="593" t="n"/>
      <c r="P108" s="21" t="n"/>
      <c r="Q108" s="21" t="n"/>
      <c r="R108" s="21" t="n"/>
    </row>
    <row r="109" ht="15.75" customHeight="1" s="373" thickBot="1">
      <c r="A109" s="455" t="n">
        <v>6</v>
      </c>
      <c r="B109" s="456" t="inlineStr">
        <is>
          <t>Tiền thu được do bán cổ phiếu quỹ</t>
        </is>
      </c>
      <c r="C109" s="455" t="n"/>
      <c r="D109" s="591" t="n"/>
      <c r="E109" s="591" t="n"/>
      <c r="F109" s="121" t="inlineStr">
        <is>
          <t>Số Phát sinh Có TK 604</t>
        </is>
      </c>
      <c r="G109" s="127" t="inlineStr">
        <is>
          <t>như trên</t>
        </is>
      </c>
      <c r="M109" s="593" t="n"/>
      <c r="P109" s="21" t="n"/>
      <c r="Q109" s="21" t="n"/>
      <c r="R109" s="21" t="n"/>
    </row>
    <row r="110" ht="39.75" customHeight="1" s="373" thickBot="1">
      <c r="A110" s="115" t="inlineStr">
        <is>
          <t>III</t>
        </is>
      </c>
      <c r="B110" s="446" t="inlineStr">
        <is>
          <t>Lưu chuyển tiền từ hoạt động tài chính</t>
        </is>
      </c>
      <c r="C110" s="115" t="n"/>
      <c r="D110" s="585">
        <f>D102+D105+D106+D107+D108+D109</f>
        <v/>
      </c>
      <c r="E110" s="585" t="n">
        <v>0</v>
      </c>
      <c r="F110" s="127" t="inlineStr">
        <is>
          <t>∑ (01 ÷ 06)</t>
        </is>
      </c>
      <c r="G110" s="127" t="inlineStr">
        <is>
          <t>như trên</t>
        </is>
      </c>
      <c r="M110" s="593" t="n">
        <v>0</v>
      </c>
      <c r="P110" s="21" t="n"/>
      <c r="Q110" s="21" t="n"/>
      <c r="R110" s="21" t="n"/>
    </row>
    <row r="111" ht="19.5" customHeight="1" s="373" thickBot="1">
      <c r="A111" s="115" t="inlineStr">
        <is>
          <t>IV</t>
        </is>
      </c>
      <c r="B111" s="446" t="inlineStr">
        <is>
          <t>Lưu chuyển tiền thuần trong kỳ</t>
        </is>
      </c>
      <c r="C111" s="115" t="n"/>
      <c r="D111" s="585">
        <f>D84+D100+D110</f>
        <v/>
      </c>
      <c r="E111" s="585" t="n">
        <v>-16994543577</v>
      </c>
      <c r="F111" s="595">
        <f>F84+F100+F110</f>
        <v/>
      </c>
      <c r="G111" s="595">
        <f>G84+G100+G110</f>
        <v/>
      </c>
      <c r="H111" s="595">
        <f>H84+H100+H110</f>
        <v/>
      </c>
      <c r="I111" s="595">
        <f>I84+I100+I110</f>
        <v/>
      </c>
      <c r="J111" s="595">
        <f>J84+J100+J110</f>
        <v/>
      </c>
      <c r="K111" s="595">
        <f>K84+K100+K110</f>
        <v/>
      </c>
      <c r="L111" s="595">
        <f>L84+L100+L110</f>
        <v/>
      </c>
      <c r="M111" s="593" t="n">
        <v>-20199176922</v>
      </c>
      <c r="N111" s="600" t="n"/>
      <c r="P111" s="21" t="n"/>
      <c r="Q111" s="21" t="n"/>
      <c r="R111" s="21" t="n"/>
    </row>
    <row r="112" ht="32.25" customHeight="1" s="373">
      <c r="A112" s="115" t="inlineStr">
        <is>
          <t>V</t>
        </is>
      </c>
      <c r="B112" s="446" t="inlineStr">
        <is>
          <t>Tiền và các khoản tương đương tiền tại thời điểm đầu kỳ</t>
        </is>
      </c>
      <c r="C112" s="115" t="n"/>
      <c r="D112" s="585">
        <f>'so lieu'!B1+'so lieu'!B2+'so lieu'!B4</f>
        <v/>
      </c>
      <c r="E112" s="585" t="n">
        <v>194465890088</v>
      </c>
      <c r="F112" s="145" t="inlineStr">
        <is>
          <t>Dư Nợ đầu kỳ các TK:</t>
        </is>
      </c>
      <c r="G112" s="452" t="inlineStr">
        <is>
          <t>như trên</t>
        </is>
      </c>
      <c r="L112" s="27">
        <f>D114-D112</f>
        <v/>
      </c>
      <c r="M112" s="593" t="n">
        <v>27518548468</v>
      </c>
      <c r="P112" s="21" t="n"/>
      <c r="Q112" s="21" t="n"/>
      <c r="R112" s="21" t="n"/>
    </row>
    <row r="113" ht="15.75" customHeight="1" s="373" thickBot="1">
      <c r="A113" s="115" t="inlineStr">
        <is>
          <t>VI</t>
        </is>
      </c>
      <c r="B113" s="446" t="inlineStr">
        <is>
          <t xml:space="preserve">Điều chỉnh ảnh hưởng của thay đổi tỷ giá </t>
        </is>
      </c>
      <c r="C113" s="115" t="n"/>
      <c r="D113" s="585">
        <f>D114-D111-D112</f>
        <v/>
      </c>
      <c r="E113" s="585" t="n"/>
      <c r="F113" s="451" t="inlineStr">
        <is>
          <t>= VII – (IV + V)</t>
        </is>
      </c>
      <c r="G113" s="127" t="inlineStr">
        <is>
          <t>như trên</t>
        </is>
      </c>
      <c r="M113" s="593" t="n"/>
      <c r="O113" s="600" t="n"/>
      <c r="P113" s="21" t="n"/>
      <c r="Q113" s="21" t="n"/>
      <c r="R113" s="21" t="n"/>
    </row>
    <row r="114" ht="33" customHeight="1" s="373">
      <c r="A114" s="115" t="inlineStr">
        <is>
          <t>VII</t>
        </is>
      </c>
      <c r="B114" s="446" t="inlineStr">
        <is>
          <t>Tiền và các khoản tương đương tiền tại thời điểm cuối kỳ</t>
        </is>
      </c>
      <c r="C114" s="115" t="inlineStr">
        <is>
          <t>VII 1</t>
        </is>
      </c>
      <c r="D114" s="585">
        <f>'so lieu'!F1+'so lieu'!F2+'so lieu'!F4</f>
        <v/>
      </c>
      <c r="E114" s="585" t="n">
        <v>177471346511</v>
      </c>
      <c r="F114" s="145" t="inlineStr">
        <is>
          <t xml:space="preserve">Dư Nợ cuối kỳ các TK: </t>
        </is>
      </c>
      <c r="G114" s="452" t="inlineStr">
        <is>
          <t>như trên</t>
        </is>
      </c>
      <c r="L114" s="27">
        <f>D111+D112-D114</f>
        <v/>
      </c>
      <c r="M114" s="609" t="n">
        <v>7319371546</v>
      </c>
      <c r="N114" s="600" t="n"/>
      <c r="O114" s="600">
        <f>D111+D112-D114</f>
        <v/>
      </c>
      <c r="P114" s="610" t="n"/>
      <c r="Q114" s="21" t="n"/>
      <c r="R114" s="21" t="n"/>
    </row>
    <row r="115">
      <c r="A115" s="147" t="inlineStr">
        <is>
          <t>Chú thích:</t>
        </is>
      </c>
      <c r="D115" s="576">
        <f>D114-D112-D111-D113</f>
        <v/>
      </c>
      <c r="E115" s="576">
        <f>E114-E112-E111-E113</f>
        <v/>
      </c>
      <c r="L115" s="578" t="n"/>
      <c r="O115" s="600" t="n"/>
      <c r="P115" s="600" t="n"/>
    </row>
    <row r="116" ht="34.5" customHeight="1" s="373">
      <c r="B116" s="447" t="inlineStr">
        <is>
          <t>- Chỉ tiêu (*)  trên Báo cáo lưu chuyển tiền tệ là các chỉ tiêu được ghi bằng số âm dưới hình thức ghi trong ngoặc đơn (xxx).</t>
        </is>
      </c>
      <c r="L116" s="578" t="n"/>
    </row>
    <row r="117" ht="36" customHeight="1" s="373">
      <c r="B117" s="447" t="inlineStr">
        <is>
          <t>- Số liệu để lập BCTC (Riêng lẻ) trên cơ sở số liệu tại mẫu B02, B03 và các phát sinh thực tế (sau khi đã thực hiện cấn trừ và điều chỉnh tại các mẫu B02, B03).</t>
        </is>
      </c>
    </row>
    <row r="118">
      <c r="A118" s="148" t="n"/>
      <c r="B118" s="149" t="n"/>
      <c r="C118" s="448" t="inlineStr">
        <is>
          <t xml:space="preserve">        ..….ngày ….. tháng …… năm ……</t>
        </is>
      </c>
      <c r="L118" s="129" t="n"/>
    </row>
    <row r="119">
      <c r="A119" s="148" t="n"/>
      <c r="B119" s="149" t="n"/>
      <c r="C119" s="448" t="n"/>
      <c r="D119" s="611" t="n"/>
      <c r="E119" s="612" t="n"/>
      <c r="L119" s="578" t="n"/>
    </row>
    <row r="120" ht="16.5" customHeight="1" s="373">
      <c r="A120" s="449" t="inlineStr">
        <is>
          <t>Lập bảng                                     Kế toán trưởng                                      Tổng giám đốc</t>
        </is>
      </c>
      <c r="L120" s="28" t="n"/>
    </row>
    <row r="121">
      <c r="A121" s="148" t="n"/>
      <c r="B121" s="449" t="n"/>
      <c r="C121" s="148" t="n"/>
    </row>
    <row r="122">
      <c r="A122" s="109" t="n"/>
      <c r="L122" s="613" t="n"/>
    </row>
    <row r="123">
      <c r="A123" s="109" t="n"/>
    </row>
    <row r="124">
      <c r="A124" s="109" t="n"/>
    </row>
    <row r="125">
      <c r="A125" s="109" t="n"/>
      <c r="L125" s="613" t="n"/>
    </row>
  </sheetData>
  <mergeCells count="36">
    <mergeCell ref="F97:F99"/>
    <mergeCell ref="D1:E1"/>
    <mergeCell ref="C118:E118"/>
    <mergeCell ref="G66:G67"/>
    <mergeCell ref="C9:E9"/>
    <mergeCell ref="B11:B12"/>
    <mergeCell ref="A6:E6"/>
    <mergeCell ref="A97:A99"/>
    <mergeCell ref="A2:C2"/>
    <mergeCell ref="A66:A67"/>
    <mergeCell ref="E97:E99"/>
    <mergeCell ref="D66:D67"/>
    <mergeCell ref="D11:E11"/>
    <mergeCell ref="A7:E7"/>
    <mergeCell ref="A46:B46"/>
    <mergeCell ref="C11:C12"/>
    <mergeCell ref="A120:E120"/>
    <mergeCell ref="B97:B99"/>
    <mergeCell ref="A101:B101"/>
    <mergeCell ref="C97:C99"/>
    <mergeCell ref="C66:C67"/>
    <mergeCell ref="A47:B47"/>
    <mergeCell ref="A85:B85"/>
    <mergeCell ref="A5:E5"/>
    <mergeCell ref="B117:E117"/>
    <mergeCell ref="A11:A12"/>
    <mergeCell ref="F11:F12"/>
    <mergeCell ref="G97:G99"/>
    <mergeCell ref="E66:E67"/>
    <mergeCell ref="A62:B62"/>
    <mergeCell ref="A4:E4"/>
    <mergeCell ref="B66:B67"/>
    <mergeCell ref="B116:E116"/>
    <mergeCell ref="A13:B13"/>
    <mergeCell ref="G11:G12"/>
    <mergeCell ref="D97:D99"/>
  </mergeCells>
  <pageMargins left="0.4330708661417323" right="0.1968503937007874" top="0.5118110236220472" bottom="0.5118110236220472" header="0.3149606299212598" footer="0.3149606299212598"/>
  <pageSetup orientation="portrait"/>
  <legacyDrawing xmlns:r="http://schemas.openxmlformats.org/officeDocument/2006/relationships" r:id="anysvml"/>
</worksheet>
</file>

<file path=xl/worksheets/sheet5.xml><?xml version="1.0" encoding="utf-8"?>
<worksheet xmlns="http://schemas.openxmlformats.org/spreadsheetml/2006/main">
  <sheetPr codeName="Sheet4">
    <tabColor theme="3" tint="0.7999816888943144"/>
    <outlinePr summaryBelow="1" summaryRight="1"/>
    <pageSetUpPr/>
  </sheetPr>
  <dimension ref="A1:XFD234"/>
  <sheetViews>
    <sheetView zoomScale="85" zoomScaleNormal="85" workbookViewId="0">
      <selection activeCell="A26" sqref="A26:G26"/>
    </sheetView>
  </sheetViews>
  <sheetFormatPr baseColWidth="8" defaultColWidth="9.140625" defaultRowHeight="15.75"/>
  <cols>
    <col width="45.7109375" customWidth="1" style="66" min="1" max="1"/>
    <col width="19.5703125" customWidth="1" style="66" min="2" max="2"/>
    <col width="17.7109375" customWidth="1" style="66" min="3" max="3"/>
    <col width="18.28515625" customWidth="1" style="66" min="4" max="4"/>
    <col width="19.85546875" customWidth="1" style="66" min="5" max="5"/>
    <col width="16.28515625" customWidth="1" style="66" min="6" max="6"/>
    <col width="20" bestFit="1" customWidth="1" style="66" min="7" max="7"/>
    <col width="19.85546875" bestFit="1" customWidth="1" style="66" min="8" max="8"/>
    <col width="9.140625" customWidth="1" style="66" min="9" max="16384"/>
  </cols>
  <sheetData>
    <row r="1" ht="20.25" customHeight="1" s="373">
      <c r="A1" s="473" t="inlineStr">
        <is>
          <t>Đơn vị: Ten cong ty          Mẫu số : B05a/TCTD: BCTC riêng lẻ</t>
        </is>
      </c>
      <c r="G1" s="157" t="n"/>
    </row>
    <row r="2" ht="16.5" customHeight="1" s="373">
      <c r="A2" s="474" t="inlineStr">
        <is>
          <t>Địa chỉ: Dia chi</t>
        </is>
      </c>
      <c r="C2" s="157" t="n"/>
      <c r="D2" s="157" t="n"/>
      <c r="E2" s="157" t="n"/>
      <c r="F2" s="157" t="n"/>
      <c r="G2" s="157" t="n"/>
    </row>
    <row r="3" ht="7.5" customHeight="1" s="373">
      <c r="A3" s="155" t="n"/>
      <c r="B3" s="157" t="n"/>
      <c r="C3" s="157" t="n"/>
      <c r="D3" s="157" t="n"/>
      <c r="E3" s="157" t="n"/>
      <c r="F3" s="157" t="n"/>
      <c r="G3" s="157" t="n"/>
    </row>
    <row r="4">
      <c r="A4" s="428" t="inlineStr">
        <is>
          <t>THUYẾT MINH BÁO CÁO TÀI CHÍNH GIỮA NIÊN ĐỘ</t>
        </is>
      </c>
      <c r="F4" s="157" t="n"/>
      <c r="G4" s="157" t="n"/>
    </row>
    <row r="5">
      <c r="A5" s="429" t="inlineStr">
        <is>
          <t>Quý I năm 2026</t>
        </is>
      </c>
      <c r="F5" s="157" t="n"/>
      <c r="G5" s="157" t="n"/>
    </row>
    <row r="6" ht="8.25" customHeight="1" s="373">
      <c r="A6" s="429" t="n"/>
      <c r="B6" s="429" t="n"/>
      <c r="C6" s="429" t="n"/>
      <c r="D6" s="429" t="n"/>
      <c r="E6" s="429" t="n"/>
      <c r="F6" s="157" t="n"/>
      <c r="G6" s="157" t="n"/>
    </row>
    <row r="7" ht="17.25" customHeight="1" s="373">
      <c r="A7" s="475" t="inlineStr">
        <is>
          <t xml:space="preserve">I- Đặc điểm hoạt động của Đơn vị  </t>
        </is>
      </c>
      <c r="F7" s="157" t="n"/>
      <c r="G7" s="157" t="n"/>
    </row>
    <row r="8" ht="19.5" customHeight="1" s="373">
      <c r="A8" s="472" t="inlineStr">
        <is>
          <t>1. Giấy phép thành lập và hoạt động, thời hạn có giá trị: 50 năm</t>
        </is>
      </c>
      <c r="F8" s="157" t="n"/>
      <c r="G8" s="157" t="n"/>
    </row>
    <row r="9" ht="19.5" customHeight="1" s="373">
      <c r="A9" s="476" t="inlineStr">
        <is>
          <t>2. Hình thức sở hữu vốn: 100% vốn do Ngân hàng TMCP Công thương VN góp vốn</t>
        </is>
      </c>
      <c r="F9" s="157" t="n"/>
      <c r="G9" s="157" t="n"/>
    </row>
    <row r="10" ht="19.5" customHeight="1" s="373">
      <c r="A10" s="472" t="inlineStr">
        <is>
          <t xml:space="preserve"> Vốn điều lệ của Đơn vị  tại ngày 31 tháng 03 năm 2026 là:  50.000 triệu đồng</t>
        </is>
      </c>
      <c r="F10" s="157" t="n"/>
      <c r="G10" s="157" t="n"/>
    </row>
    <row r="11" ht="19.5" customHeight="1" s="373">
      <c r="A11" s="472" t="inlineStr">
        <is>
          <t>3. Thành phần Hội đồng quản trị: Bà Trần Thị Tuyết Mai - Chủ tịch công ty</t>
        </is>
      </c>
      <c r="B11" s="157" t="n"/>
      <c r="C11" s="157" t="n"/>
      <c r="D11" s="157" t="n"/>
      <c r="E11" s="157" t="n"/>
      <c r="F11" s="157" t="n"/>
      <c r="G11" s="157" t="n"/>
    </row>
    <row r="12" ht="19.5" customHeight="1" s="373">
      <c r="A12" s="155" t="inlineStr">
        <is>
          <t>4. Thành phần Ban Giám đốc:</t>
        </is>
      </c>
      <c r="B12" s="157" t="n"/>
      <c r="C12" s="157" t="n"/>
      <c r="D12" s="157" t="n"/>
      <c r="E12" s="157" t="n"/>
      <c r="F12" s="157" t="n"/>
      <c r="G12" s="157" t="n"/>
    </row>
    <row r="13" ht="19.5" customHeight="1" s="373">
      <c r="A13" s="472" t="inlineStr">
        <is>
          <t>Ông Khổng Phan Đức – Tổng giám đốc</t>
        </is>
      </c>
      <c r="C13" s="157" t="n"/>
      <c r="D13" s="157" t="n"/>
      <c r="E13" s="157" t="n"/>
      <c r="F13" s="157" t="n"/>
      <c r="G13" s="157" t="n"/>
    </row>
    <row r="14" ht="19.5" customHeight="1" s="373">
      <c r="A14" s="472" t="inlineStr">
        <is>
          <t>Ông Đỗ Hữu Tụ - Phó Tổng giám đốc</t>
        </is>
      </c>
      <c r="B14" s="472" t="n"/>
      <c r="C14" s="157" t="n"/>
      <c r="D14" s="157" t="n"/>
      <c r="E14" s="157" t="n"/>
      <c r="F14" s="157" t="n"/>
      <c r="G14" s="157" t="n"/>
    </row>
    <row r="15" ht="19.5" customHeight="1" s="373">
      <c r="A15" s="472" t="inlineStr">
        <is>
          <t xml:space="preserve">5. Trụ sở chính; Số chi nhánh: 0             Số Công ty trực thuộc: 0       </t>
        </is>
      </c>
      <c r="F15" s="157" t="n"/>
      <c r="G15" s="157" t="n"/>
    </row>
    <row r="16">
      <c r="A16" s="474" t="inlineStr">
        <is>
          <t>6. Tổng số cán bộ, công nhân viên: Tổng số cán bộ công nhân viên của Công ty  tại ngày 31 tháng 03 năm 2026:  37 người.</t>
        </is>
      </c>
      <c r="F16" s="40" t="n"/>
      <c r="G16" s="40" t="n"/>
    </row>
    <row r="17" ht="19.5" customHeight="1" s="373">
      <c r="A17" s="475" t="inlineStr">
        <is>
          <t>II- Kỳ kế toán, đơn vị tiền tệ sử dụng trong kế toán</t>
        </is>
      </c>
      <c r="F17" s="157" t="n"/>
      <c r="G17" s="157" t="n"/>
    </row>
    <row r="18" ht="19.5" customHeight="1" s="373">
      <c r="A18" s="472" t="inlineStr">
        <is>
          <t>1. Kỳ kế toán quý (bắt đầu từ ngày 01/01/2026 kết thúc vào ngày 31/03/2026)</t>
        </is>
      </c>
      <c r="F18" s="157" t="n"/>
      <c r="G18" s="157" t="n"/>
    </row>
    <row r="19">
      <c r="A19" s="474" t="inlineStr">
        <is>
          <t>Kỳ kế toán quý là (03) tháng. Lập theo kỳ kế toán quý của Năm tài chính tính từ đầu ngày 01 tháng đầu năm đến hết ngày cuối cùng của tháng cuối quý.</t>
        </is>
      </c>
    </row>
    <row r="20">
      <c r="A20" s="472" t="inlineStr">
        <is>
          <t>2. Đơn vị tiền tệ sử dụng trong kế toán</t>
        </is>
      </c>
      <c r="C20" s="157" t="n"/>
      <c r="D20" s="157" t="n"/>
      <c r="E20" s="157" t="n"/>
      <c r="F20" s="157" t="n"/>
      <c r="G20" s="157" t="n"/>
    </row>
    <row r="21">
      <c r="A21" s="476" t="inlineStr">
        <is>
          <t>Báo cáo tài chính của Công ty được trình bày theo đơn vị đồng Việt Nam (“đồng” hay “VNĐ”).</t>
        </is>
      </c>
      <c r="F21" s="157" t="n"/>
      <c r="G21" s="157" t="n"/>
    </row>
    <row r="22">
      <c r="A22" s="475" t="inlineStr">
        <is>
          <t>III- Chuẩn mực và Chế độ kế toán áp dụng</t>
        </is>
      </c>
      <c r="F22" s="157" t="n"/>
      <c r="G22" s="157" t="n"/>
    </row>
    <row r="23">
      <c r="A23" s="472" t="inlineStr">
        <is>
          <t xml:space="preserve">1- Báo cáo về tuân thủ các chuẩn mực kế toán Việt Nam – VAS </t>
        </is>
      </c>
      <c r="F23" s="157" t="n"/>
      <c r="G23" s="157" t="n"/>
    </row>
    <row r="24" ht="30" customHeight="1" s="373">
      <c r="A24" s="477" t="inlineStr">
        <is>
          <t>2. Chế độ kế toán và hình thức kế toán áp dụng: Công ty áp dụng Chế độ Kế toán doanh nghiệp ban hành theo Thông tư 99/2025/TT-BTC ngày 27/10/2025 của Bộ trưởng Bộ Tài Chính</t>
        </is>
      </c>
      <c r="G24" s="324" t="n"/>
      <c r="H24" s="66" t="n"/>
      <c r="I24" s="66" t="n"/>
      <c r="J24" s="66" t="n"/>
    </row>
    <row r="25">
      <c r="A25" s="157" t="inlineStr">
        <is>
          <t xml:space="preserve">3.Các cơ sở đánh giá được sử dụng trong quá trình lập BCTC được lập theo hệ thống kế toán các TCTD theo QĐ số 833/2015/QĐ HĐQT 10 </t>
        </is>
      </c>
      <c r="B25" s="157" t="n"/>
      <c r="C25" s="157" t="n"/>
      <c r="D25" s="157" t="n"/>
      <c r="E25" s="157" t="n"/>
      <c r="F25" s="157" t="n"/>
      <c r="G25" s="157" t="n"/>
    </row>
    <row r="26">
      <c r="A26" s="474" t="inlineStr">
        <is>
          <t xml:space="preserve">ngày 31/07/2015 về việc ban hành chế độ báo cáo tài chính với công ty con,công ty liên kết và liên doanh thuộc NH TMCP </t>
        </is>
      </c>
    </row>
    <row r="27">
      <c r="A27" s="158" t="inlineStr">
        <is>
          <t>IV- Chính sách kế toán áp dụng</t>
        </is>
      </c>
      <c r="B27" s="157" t="n"/>
      <c r="C27" s="157" t="n"/>
      <c r="D27" s="157" t="n"/>
      <c r="E27" s="157" t="n"/>
      <c r="F27" s="157" t="n"/>
      <c r="G27" s="157" t="n"/>
    </row>
    <row r="28">
      <c r="A28" s="155" t="inlineStr">
        <is>
          <t>1. Chuyển đổi tiền tệ</t>
        </is>
      </c>
      <c r="B28" s="157" t="n"/>
      <c r="C28" s="157" t="n"/>
      <c r="D28" s="157" t="n"/>
      <c r="E28" s="157" t="n"/>
      <c r="F28" s="157" t="n"/>
      <c r="G28" s="157" t="n"/>
    </row>
    <row r="29">
      <c r="A29" s="472" t="inlineStr">
        <is>
          <t>1.1. Nguyên tắc ghi nhận các khoản tiền</t>
        </is>
      </c>
      <c r="F29" s="157" t="n"/>
      <c r="G29" s="157" t="n"/>
    </row>
    <row r="30" ht="29.25" customHeight="1" s="373">
      <c r="A30" s="477" t="inlineStr">
        <is>
          <t>Tất cả các nghiệp vụ phát sinh được hạch toán theo nguyên tệ. Các khoản thu nhập, chi phí bằng ngoại tệ được hạch toán bằng VNĐ theo tỷ giá ghi sổ và cuối tháng được đánh giá lại chênh lệch tỷ giá theo tỷ giá niêm yết của Ngân hàng TMCPCT ngày cuối tháng</t>
        </is>
      </c>
      <c r="G30" s="324" t="n"/>
    </row>
    <row r="31">
      <c r="A31" s="472" t="inlineStr">
        <is>
          <t xml:space="preserve">1.2. Phương pháp chuyển đổi các đồng tiền và ghi nhận chênh lệch tỷ giá phát sinh.      </t>
        </is>
      </c>
      <c r="F31" s="157" t="n"/>
      <c r="G31" s="157" t="n"/>
    </row>
    <row r="32">
      <c r="A32" s="474" t="inlineStr">
        <is>
          <t>Trong năm, các nghiệp vụ phát sinh bằng ngoại tệ liên quan đến các tài khoản thuộc loại doanh thu, chi phí được ghi sổ kế toán bằng Đồng Việt Nam theo tỷ giá ghi sổ.</t>
        </is>
      </c>
    </row>
    <row r="33">
      <c r="A33" s="472" t="inlineStr">
        <is>
          <t>4. Kế toán thu nhập lãi, chi phí lãi và ngừng dự thu lãi</t>
        </is>
      </c>
      <c r="F33" s="157" t="n"/>
      <c r="G33" s="157" t="n"/>
    </row>
    <row r="34">
      <c r="A34" s="155" t="inlineStr">
        <is>
          <t>5. Kế toán các khoản thu từ phí</t>
        </is>
      </c>
      <c r="B34" s="157" t="n"/>
      <c r="C34" s="157" t="n"/>
      <c r="D34" s="157" t="n"/>
      <c r="E34" s="157" t="n"/>
      <c r="F34" s="157" t="n"/>
      <c r="G34" s="157" t="n"/>
    </row>
    <row r="35">
      <c r="A35" s="472" t="inlineStr">
        <is>
          <t>6. Kế toán đối với cho vay khách hàng</t>
        </is>
      </c>
      <c r="F35" s="157" t="n"/>
      <c r="G35" s="157" t="n"/>
    </row>
    <row r="36" ht="19.5" customHeight="1" s="373">
      <c r="A36" s="472" t="inlineStr">
        <is>
          <t>-         Nguyên tắc ghi nhận khoản vay</t>
        </is>
      </c>
      <c r="F36" s="157" t="n"/>
      <c r="G36" s="157" t="n"/>
    </row>
    <row r="37" ht="19.5" customHeight="1" s="373">
      <c r="A37" s="472" t="inlineStr">
        <is>
          <t>-         Các nguyên tắc phân loại nợ và đánh giá rủi ro tín dụng</t>
        </is>
      </c>
      <c r="F37" s="157" t="n"/>
      <c r="G37" s="157" t="n"/>
    </row>
    <row r="38" ht="19.5" customHeight="1" s="373">
      <c r="A38" s="472" t="inlineStr">
        <is>
          <t>-         Cơ sở trích lập dự phòng rủi ro tín dụng và xoá sổ các khoản cho vay không có khả năng thu hồi</t>
        </is>
      </c>
      <c r="F38" s="157" t="n"/>
      <c r="G38" s="157" t="n"/>
    </row>
    <row r="39" ht="45.75" customHeight="1" s="373">
      <c r="A39" s="474" t="inlineStr">
        <is>
          <t>7. Tiền và các khoản tương đương tiền: Bao gồm tiền mặt tại quỹ, tiền gửi tại NHNN, tín phiếu chính phủ, các GTCG ngắn hạn khác đủ điều kiện tái chiết khấu với NHNN, chứng khoán có thời hạn thu hồi hoặc đáo hạn không quá 3 tháng kể từ ngày mua, tiền gửi tại các TCTD khác không kỳ hạn và đáo hạn không quá 3 tháng kể từ ngày gửi</t>
        </is>
      </c>
      <c r="G39" s="325" t="n"/>
    </row>
    <row r="40" ht="20.25" customHeight="1" s="373">
      <c r="A40" s="472" t="inlineStr">
        <is>
          <t>8. Dự phòng, công nợ tiềm ẩn và tài sản chưa xác định</t>
        </is>
      </c>
      <c r="F40" s="157" t="n"/>
      <c r="G40" s="157" t="n"/>
    </row>
    <row r="41" ht="19.5" customHeight="1" s="373">
      <c r="A41" s="472" t="inlineStr">
        <is>
          <t>9. Nguyên tắc và phương pháp ghi nhận thuế thu nhập doanh nghiệp và chi phí thuế thu nhập doanh nghiệp:</t>
        </is>
      </c>
      <c r="B41" s="157" t="n"/>
      <c r="C41" s="157" t="n"/>
      <c r="D41" s="157" t="n"/>
      <c r="E41" s="157" t="n"/>
      <c r="F41" s="157" t="n"/>
      <c r="G41" s="157" t="n"/>
    </row>
    <row r="42" ht="19.5" customHeight="1" s="373">
      <c r="A42" s="474" t="inlineStr">
        <is>
          <t xml:space="preserve"> -Thuế thu nhập hiện hành: Là số Thuế thu nhập công ty phải nộp hoặc thu hồi được tính trên thu nhập chịu Thuế và Thuế suất Thuế TNDN hiện hành</t>
        </is>
      </c>
    </row>
    <row r="43" ht="19.5" customHeight="1" s="373">
      <c r="A43" s="472" t="inlineStr">
        <is>
          <t>- Chi phí thuế thu nhập hiện hành và thuế thu nhập hoãn lại.</t>
        </is>
      </c>
      <c r="F43" s="157" t="n"/>
      <c r="G43" s="157" t="n"/>
    </row>
    <row r="44" ht="19.5" customHeight="1" s="373">
      <c r="A44" s="472" t="inlineStr">
        <is>
          <t>10. Kế toán các khoản vốn vay, phát hành chứng khoán nợ, công cụ vốn</t>
        </is>
      </c>
      <c r="F44" s="157" t="n"/>
      <c r="G44" s="157" t="n"/>
    </row>
    <row r="45">
      <c r="A45" s="155" t="inlineStr">
        <is>
          <t>- Nguyên tắc ghi nhận chi phí đi vay</t>
        </is>
      </c>
      <c r="B45" s="157" t="n"/>
      <c r="C45" s="157" t="n"/>
      <c r="D45" s="157" t="n"/>
      <c r="E45" s="157" t="n"/>
      <c r="F45" s="157" t="n"/>
      <c r="G45" s="157" t="n"/>
    </row>
    <row r="46" ht="19.5" customHeight="1" s="373">
      <c r="A46" s="155" t="inlineStr">
        <is>
          <t>+ Vốn vay</t>
        </is>
      </c>
      <c r="B46" s="157" t="n"/>
      <c r="C46" s="157" t="n"/>
      <c r="D46" s="157" t="n"/>
      <c r="E46" s="157" t="n"/>
      <c r="F46" s="157" t="n"/>
      <c r="G46" s="157" t="n"/>
    </row>
    <row r="47" ht="19.5" customHeight="1" s="373">
      <c r="A47" s="472" t="inlineStr">
        <is>
          <t>+ Kỳ phiếu, trái phiếu phát hành (GTCG):</t>
        </is>
      </c>
      <c r="F47" s="157" t="n"/>
      <c r="G47" s="157" t="n"/>
    </row>
    <row r="48" ht="19.5" customHeight="1" s="373">
      <c r="A48" s="155" t="inlineStr">
        <is>
          <t>+ Cổ phiếu ưu đãi;</t>
        </is>
      </c>
      <c r="B48" s="157" t="n"/>
      <c r="C48" s="157" t="n"/>
      <c r="D48" s="157" t="n"/>
      <c r="E48" s="157" t="n"/>
      <c r="F48" s="157" t="n"/>
      <c r="G48" s="157" t="n"/>
    </row>
    <row r="49" ht="19.5" customHeight="1" s="373">
      <c r="A49" s="472" t="inlineStr">
        <is>
          <t>+ Mua lại giấy tờ có giá do chính Công ty  phát hành</t>
        </is>
      </c>
      <c r="F49" s="157" t="n"/>
      <c r="G49" s="157" t="n"/>
    </row>
    <row r="50" ht="19.5" customHeight="1" s="373">
      <c r="A50" s="155" t="inlineStr">
        <is>
          <t>11. Vốn chủ sở hữu</t>
        </is>
      </c>
      <c r="B50" s="157" t="n"/>
      <c r="C50" s="157" t="n"/>
      <c r="D50" s="157" t="n"/>
      <c r="E50" s="157" t="n"/>
      <c r="F50" s="157" t="n"/>
      <c r="G50" s="157" t="n"/>
    </row>
    <row r="51">
      <c r="A51" s="474" t="inlineStr">
        <is>
          <t xml:space="preserve"> - Tổng vốn của công ty được thể hiện bằng tiền, được bổ sung từ các quỹ trích lập từ lợi nhuận sau thuế hàng năm của công ty theo quy định của VN</t>
        </is>
      </c>
    </row>
    <row r="52" ht="19.5" customHeight="1" s="373">
      <c r="A52" s="478" t="inlineStr">
        <is>
          <t>V. Thông tin bổ sung cho các khoản mục trình bày trong Bảng cân đối kế toán</t>
        </is>
      </c>
    </row>
    <row r="53" ht="15" customFormat="1" customHeight="1" s="39">
      <c r="A53" s="159" t="inlineStr">
        <is>
          <t>1. Tiền mặt, vàng bạc, đá quý</t>
        </is>
      </c>
      <c r="B53" s="614" t="n"/>
      <c r="C53" s="614" t="n"/>
      <c r="D53" s="614" t="n"/>
      <c r="E53" s="614" t="n"/>
    </row>
    <row r="54" ht="15" customFormat="1" customHeight="1" s="39">
      <c r="A54" s="161" t="inlineStr">
        <is>
          <t>Chỉ tiêu</t>
        </is>
      </c>
      <c r="B54" s="615" t="inlineStr">
        <is>
          <t>Số cuối kỳ</t>
        </is>
      </c>
      <c r="C54" s="615" t="inlineStr">
        <is>
          <t>Số đầu kỳ</t>
        </is>
      </c>
      <c r="D54" s="614" t="n"/>
      <c r="E54" s="614" t="n"/>
    </row>
    <row r="55" ht="15" customFormat="1" customHeight="1" s="39">
      <c r="A55" s="163" t="inlineStr">
        <is>
          <t>Tiền mặt bằng VND</t>
        </is>
      </c>
      <c r="B55" s="616">
        <f>'so lieu'!F1</f>
        <v/>
      </c>
      <c r="C55" s="616">
        <f>'B02'!E11</f>
        <v/>
      </c>
      <c r="D55" s="614" t="n"/>
      <c r="E55" s="614" t="n"/>
    </row>
    <row r="56" ht="15" customFormat="1" customHeight="1" s="39">
      <c r="A56" s="163" t="inlineStr">
        <is>
          <t>Tiền mặt bằng ngoại tệ</t>
        </is>
      </c>
      <c r="B56" s="617" t="n"/>
      <c r="C56" s="617" t="n"/>
      <c r="D56" s="614" t="n"/>
      <c r="E56" s="614" t="n"/>
    </row>
    <row r="57" ht="15" customFormat="1" customHeight="1" s="39">
      <c r="A57" s="163" t="inlineStr">
        <is>
          <t>Chứng từ có giá trị ngoại tệ</t>
        </is>
      </c>
      <c r="B57" s="617" t="n"/>
      <c r="C57" s="617" t="n"/>
      <c r="D57" s="614" t="n"/>
      <c r="E57" s="614" t="n"/>
    </row>
    <row r="58" ht="15" customFormat="1" customHeight="1" s="39">
      <c r="A58" s="163" t="inlineStr">
        <is>
          <t>Vàng tiền tệ</t>
        </is>
      </c>
      <c r="B58" s="617" t="n"/>
      <c r="C58" s="617" t="n"/>
      <c r="D58" s="614" t="n"/>
      <c r="E58" s="614" t="n"/>
    </row>
    <row r="59" ht="15" customFormat="1" customHeight="1" s="39">
      <c r="A59" s="163" t="inlineStr">
        <is>
          <t>Kim loại đá quý khác</t>
        </is>
      </c>
      <c r="B59" s="617" t="n"/>
      <c r="C59" s="617" t="n"/>
      <c r="D59" s="614" t="n"/>
      <c r="E59" s="614" t="n"/>
    </row>
    <row r="60" ht="15" customFormat="1" customHeight="1" s="39">
      <c r="A60" s="165" t="inlineStr">
        <is>
          <t>Tổng</t>
        </is>
      </c>
      <c r="B60" s="618">
        <f>SUM(B55:B59)</f>
        <v/>
      </c>
      <c r="C60" s="618">
        <f>C55</f>
        <v/>
      </c>
      <c r="D60" s="614">
        <f>B60-'B02'!D11</f>
        <v/>
      </c>
      <c r="E60" s="614" t="n"/>
    </row>
    <row r="61" customFormat="1" s="39">
      <c r="A61" s="163" t="inlineStr">
        <is>
          <t>- Dự phòng giảm giá trích lập đối với vàng phi tiền tệ, kim loại quý, đá quý (số dự phòng, cơ sở trích lập)</t>
        </is>
      </c>
      <c r="B61" s="619" t="n"/>
      <c r="C61" s="619" t="n"/>
      <c r="D61" s="614" t="n"/>
      <c r="E61" s="614" t="n"/>
    </row>
    <row r="62" ht="15" customFormat="1" customHeight="1" s="39">
      <c r="A62" s="166" t="inlineStr">
        <is>
          <t>2. Tiền, vàng gửi tại TCTD khác</t>
        </is>
      </c>
      <c r="B62" s="619" t="n"/>
      <c r="C62" s="620" t="n"/>
      <c r="D62" s="614" t="n"/>
      <c r="E62" s="614" t="n"/>
    </row>
    <row r="63" ht="15" customFormat="1" customHeight="1" s="39">
      <c r="A63" s="168" t="inlineStr">
        <is>
          <t>Chỉ tiêu</t>
        </is>
      </c>
      <c r="B63" s="621" t="inlineStr">
        <is>
          <t>Số cuối kỳ</t>
        </is>
      </c>
      <c r="C63" s="621" t="inlineStr">
        <is>
          <t>Số đầu kỳ</t>
        </is>
      </c>
      <c r="D63" s="614" t="n"/>
      <c r="E63" s="614" t="n"/>
    </row>
    <row r="64" ht="15" customFormat="1" customHeight="1" s="39">
      <c r="A64" s="170" t="inlineStr">
        <is>
          <t>a.       Tiền gửi không kỳ hạn</t>
        </is>
      </c>
      <c r="B64" s="617">
        <f>B65+B66</f>
        <v/>
      </c>
      <c r="C64" s="617" t="n">
        <v>187683604752</v>
      </c>
      <c r="D64" s="614" t="n"/>
      <c r="E64" s="614" t="n"/>
    </row>
    <row r="65" ht="15" customFormat="1" customHeight="1" s="39">
      <c r="A65" s="170" t="inlineStr">
        <is>
          <t>-          Bằng VND</t>
        </is>
      </c>
      <c r="B65" s="616">
        <f>'so lieu'!F2</f>
        <v/>
      </c>
      <c r="C65" s="616" t="n">
        <v>113672507448</v>
      </c>
      <c r="D65" s="614" t="n"/>
      <c r="E65" s="614" t="n"/>
    </row>
    <row r="66" ht="15" customFormat="1" customHeight="1" s="39">
      <c r="A66" s="170" t="inlineStr">
        <is>
          <t>-          Bằng ngoại tệ</t>
        </is>
      </c>
      <c r="B66" s="616">
        <f>'so lieu'!F4</f>
        <v/>
      </c>
      <c r="C66" s="616" t="n">
        <v>74011097304</v>
      </c>
      <c r="D66" s="614" t="n"/>
      <c r="E66" s="614" t="n"/>
    </row>
    <row r="67" ht="15" customFormat="1" customHeight="1" s="39">
      <c r="A67" s="170" t="inlineStr">
        <is>
          <t>b.      Tiền vàng gửi có kỳ hạn</t>
        </is>
      </c>
      <c r="B67" s="617">
        <f>B68</f>
        <v/>
      </c>
      <c r="C67" s="617" t="n">
        <v>70000000000</v>
      </c>
      <c r="D67" s="614" t="n"/>
      <c r="E67" s="614" t="n"/>
    </row>
    <row r="68" ht="15" customFormat="1" customHeight="1" s="39">
      <c r="A68" s="170" t="inlineStr">
        <is>
          <t>-          Bằng VND</t>
        </is>
      </c>
      <c r="B68" s="616">
        <f>'so lieu'!F3</f>
        <v/>
      </c>
      <c r="C68" s="616" t="n">
        <v>70000000000</v>
      </c>
      <c r="D68" s="614" t="n"/>
      <c r="E68" s="614" t="n"/>
    </row>
    <row r="69" ht="15" customFormat="1" customHeight="1" s="39">
      <c r="A69" s="170" t="inlineStr">
        <is>
          <t>-          Bằng ngoại tệ</t>
        </is>
      </c>
      <c r="B69" s="617" t="n"/>
      <c r="C69" s="617" t="n"/>
      <c r="D69" s="614" t="n"/>
      <c r="E69" s="614" t="n"/>
    </row>
    <row r="70" ht="15" customFormat="1" customHeight="1" s="39">
      <c r="A70" s="168" t="inlineStr">
        <is>
          <t>Tổng</t>
        </is>
      </c>
      <c r="B70" s="618">
        <f>B64+B67</f>
        <v/>
      </c>
      <c r="C70" s="618" t="n">
        <v>257683604752</v>
      </c>
      <c r="D70" s="614">
        <f>B70-'B02'!D14</f>
        <v/>
      </c>
      <c r="E70" s="614" t="n"/>
    </row>
    <row r="71" ht="15" customFormat="1" customHeight="1" s="39">
      <c r="A71" s="172" t="inlineStr">
        <is>
          <t>3. Tài sản cố định hữu hình</t>
        </is>
      </c>
      <c r="B71" s="619" t="n"/>
      <c r="C71" s="620" t="n"/>
      <c r="D71" s="614" t="n"/>
      <c r="E71" s="614" t="n"/>
    </row>
    <row r="72" ht="28.5" customFormat="1" customHeight="1" s="39">
      <c r="A72" s="173" t="inlineStr">
        <is>
          <t>Khoản mục</t>
        </is>
      </c>
      <c r="B72" s="622" t="inlineStr">
        <is>
          <t>Máy móc thiết bị</t>
        </is>
      </c>
      <c r="C72" s="622" t="inlineStr">
        <is>
          <t>Phương tiện vận tải truyền dẫn</t>
        </is>
      </c>
      <c r="D72" s="622" t="inlineStr">
        <is>
          <t>Thiết bị dụng cụ quản lý</t>
        </is>
      </c>
      <c r="E72" s="173" t="inlineStr">
        <is>
          <t>TSCĐ khác</t>
        </is>
      </c>
      <c r="F72" s="173" t="inlineStr">
        <is>
          <t>Tổng cộng</t>
        </is>
      </c>
      <c r="H72" s="175" t="n"/>
    </row>
    <row r="73" ht="15" customFormat="1" customHeight="1" s="39">
      <c r="A73" s="165" t="inlineStr">
        <is>
          <t>Nguyên giá</t>
        </is>
      </c>
      <c r="B73" s="279" t="n"/>
      <c r="C73" s="623" t="n"/>
      <c r="D73" s="624" t="n"/>
      <c r="E73" s="282" t="n"/>
      <c r="F73" s="282" t="n"/>
    </row>
    <row r="74" ht="15" customFormat="1" customHeight="1" s="39">
      <c r="A74" s="163" t="inlineStr">
        <is>
          <t>Số dư đầu kỳ</t>
        </is>
      </c>
      <c r="B74" s="625">
        <f>'so lieu'!F5</f>
        <v/>
      </c>
      <c r="C74" s="625">
        <f>'so lieu'!F6</f>
        <v/>
      </c>
      <c r="D74" s="625">
        <f>'so lieu'!B7</f>
        <v/>
      </c>
      <c r="E74" s="625">
        <f>'so lieu'!B8</f>
        <v/>
      </c>
      <c r="F74" s="626">
        <f>SUM(B74:E74)</f>
        <v/>
      </c>
      <c r="G74" s="541" t="n"/>
      <c r="I74" s="277" t="n"/>
    </row>
    <row r="75" ht="15" customFormat="1" customHeight="1" s="39">
      <c r="A75" s="163" t="inlineStr">
        <is>
          <t>Mua trong kỳ</t>
        </is>
      </c>
      <c r="B75" s="625" t="n">
        <v>0</v>
      </c>
      <c r="C75" s="597" t="n"/>
      <c r="D75" s="597">
        <f>-'so lieu'!E7</f>
        <v/>
      </c>
      <c r="E75" s="627">
        <f>-'so lieu'!E8</f>
        <v/>
      </c>
      <c r="F75" s="626">
        <f>B75</f>
        <v/>
      </c>
    </row>
    <row r="76" ht="15" customFormat="1" customHeight="1" s="176">
      <c r="A76" s="165" t="inlineStr">
        <is>
          <t>Số dư cuối kỳ</t>
        </is>
      </c>
      <c r="B76" s="625">
        <f>B74+B75</f>
        <v/>
      </c>
      <c r="C76" s="625">
        <f>C74+C75</f>
        <v/>
      </c>
      <c r="D76" s="625">
        <f>D74+D75</f>
        <v/>
      </c>
      <c r="E76" s="625">
        <f>E74+E75</f>
        <v/>
      </c>
      <c r="F76" s="626">
        <f>SUM(B76:E76)</f>
        <v/>
      </c>
      <c r="G76" s="628">
        <f>F76-'B02'!D41</f>
        <v/>
      </c>
    </row>
    <row r="77" ht="15" customFormat="1" customHeight="1" s="39">
      <c r="A77" s="165" t="inlineStr">
        <is>
          <t>Giá trị hao mòn lũy kế</t>
        </is>
      </c>
      <c r="B77" s="625" t="n"/>
      <c r="C77" s="597" t="n"/>
      <c r="D77" s="597" t="n"/>
      <c r="E77" s="297" t="n"/>
      <c r="F77" s="626">
        <f>B77</f>
        <v/>
      </c>
    </row>
    <row r="78" ht="15" customFormat="1" customHeight="1" s="39">
      <c r="A78" s="163" t="inlineStr">
        <is>
          <t>Số dư đầu kỳ</t>
        </is>
      </c>
      <c r="B78" s="626" t="n">
        <v>118875001</v>
      </c>
      <c r="C78" s="626" t="n">
        <v>2356156363</v>
      </c>
      <c r="D78" s="626" t="n">
        <v>192222194</v>
      </c>
      <c r="E78" s="626">
        <f>E74</f>
        <v/>
      </c>
      <c r="F78" s="626">
        <f>SUM(B78:E78)</f>
        <v/>
      </c>
      <c r="H78" s="542" t="n"/>
    </row>
    <row r="79" ht="15" customFormat="1" customHeight="1" s="39">
      <c r="A79" s="163" t="inlineStr">
        <is>
          <t>Khấu hao trong kỳ</t>
        </is>
      </c>
      <c r="B79" s="626" t="n"/>
      <c r="C79" s="629">
        <f>TSCD2025!L7+TSCD2025!L6</f>
        <v/>
      </c>
      <c r="D79" s="629">
        <f>TSCD2025!L9+TSCD2025!L10+TSCD2025!L11+TSCD2025!L12+TSCD2025!L13+TSCD2025!L14+D75</f>
        <v/>
      </c>
      <c r="E79" s="629">
        <f>E75</f>
        <v/>
      </c>
      <c r="F79" s="626">
        <f>SUM(B79:E79)</f>
        <v/>
      </c>
      <c r="H79" s="542" t="n"/>
    </row>
    <row r="80" ht="15" customFormat="1" customHeight="1" s="176">
      <c r="A80" s="163" t="inlineStr">
        <is>
          <t>Số dư cuối kỳ</t>
        </is>
      </c>
      <c r="B80" s="597">
        <f>B78+B79</f>
        <v/>
      </c>
      <c r="C80" s="597">
        <f>C78+C79</f>
        <v/>
      </c>
      <c r="D80" s="597">
        <f>D78+D79</f>
        <v/>
      </c>
      <c r="E80" s="597">
        <f>E78+E79</f>
        <v/>
      </c>
      <c r="F80" s="626">
        <f>SUM(B80:E80)</f>
        <v/>
      </c>
      <c r="G80" s="628">
        <f>F80+'B02'!D42</f>
        <v/>
      </c>
      <c r="H80" s="542" t="n"/>
      <c r="I80" s="628" t="n"/>
    </row>
    <row r="81" ht="19.5" customFormat="1" customHeight="1" s="39">
      <c r="A81" s="163" t="inlineStr">
        <is>
          <t>Giá trị còn lại</t>
        </is>
      </c>
      <c r="B81" s="597" t="n"/>
      <c r="C81" s="597" t="n"/>
      <c r="D81" s="597" t="n"/>
      <c r="E81" s="297" t="n"/>
      <c r="F81" s="626">
        <f>B81</f>
        <v/>
      </c>
    </row>
    <row r="82" ht="19.5" customFormat="1" customHeight="1" s="39">
      <c r="A82" s="163" t="inlineStr">
        <is>
          <t>Tại ngày đầu kỳ</t>
        </is>
      </c>
      <c r="B82" s="597">
        <f>B74-B78</f>
        <v/>
      </c>
      <c r="C82" s="597">
        <f>C74-C78</f>
        <v/>
      </c>
      <c r="D82" s="597">
        <f>D74-D78</f>
        <v/>
      </c>
      <c r="E82" s="597" t="n">
        <v>0</v>
      </c>
      <c r="F82" s="626">
        <f>SUM(B82:E82)</f>
        <v/>
      </c>
    </row>
    <row r="83" ht="19.5" customFormat="1" customHeight="1" s="39">
      <c r="A83" s="163" t="inlineStr">
        <is>
          <t>Tại ngày cuối kỳ</t>
        </is>
      </c>
      <c r="B83" s="597">
        <f>B76-B80</f>
        <v/>
      </c>
      <c r="C83" s="597">
        <f>C76-C80</f>
        <v/>
      </c>
      <c r="D83" s="597">
        <f>D76-D80</f>
        <v/>
      </c>
      <c r="E83" s="597">
        <f>E76-E80</f>
        <v/>
      </c>
      <c r="F83" s="626">
        <f>SUM(B83:E83)</f>
        <v/>
      </c>
    </row>
    <row r="84" ht="19.5" customFormat="1" customHeight="1" s="39">
      <c r="A84" s="172" t="inlineStr">
        <is>
          <t>4. Tài sản có khác</t>
        </is>
      </c>
      <c r="B84" s="619" t="n"/>
      <c r="C84" s="620" t="n"/>
      <c r="D84" s="614" t="n"/>
      <c r="E84" s="614" t="n"/>
    </row>
    <row r="85" ht="19.5" customFormat="1" customHeight="1" s="39">
      <c r="A85" s="161" t="inlineStr">
        <is>
          <t>Chỉ tiêu</t>
        </is>
      </c>
      <c r="B85" s="615" t="inlineStr">
        <is>
          <t>Số cuối kỳ</t>
        </is>
      </c>
      <c r="C85" s="615" t="inlineStr">
        <is>
          <t>Số đầu kỳ</t>
        </is>
      </c>
      <c r="D85" s="630" t="n"/>
      <c r="E85" s="630" t="n"/>
    </row>
    <row r="86" ht="15" customFormat="1" customHeight="1" s="39">
      <c r="A86" s="163" t="inlineStr">
        <is>
          <t>1. Các khoản phải thu khác</t>
        </is>
      </c>
      <c r="B86" s="616">
        <f>'B02'!D53</f>
        <v/>
      </c>
      <c r="C86" s="171" t="n">
        <v>13099956004</v>
      </c>
      <c r="D86" s="620" t="n"/>
      <c r="E86" s="620" t="n"/>
    </row>
    <row r="87" ht="15" customFormat="1" customHeight="1" s="39">
      <c r="A87" s="163" t="inlineStr">
        <is>
          <t>2. Tài sản có khác</t>
        </is>
      </c>
      <c r="B87" s="616">
        <f>'B02'!D56</f>
        <v/>
      </c>
      <c r="C87" s="171" t="n">
        <v>234576000</v>
      </c>
      <c r="D87" s="620" t="n"/>
      <c r="E87" s="620" t="n"/>
    </row>
    <row r="88" ht="15" customFormat="1" customHeight="1" s="39">
      <c r="A88" s="163" t="inlineStr">
        <is>
          <t>3. Lãi, phí phải thu</t>
        </is>
      </c>
      <c r="B88" s="616">
        <f>'B02'!D54</f>
        <v/>
      </c>
      <c r="C88" s="171" t="n">
        <v>4363287205</v>
      </c>
      <c r="D88" s="620" t="n"/>
      <c r="E88" s="620" t="n"/>
    </row>
    <row r="89" ht="15" customFormat="1" customHeight="1" s="39">
      <c r="A89" s="161" t="inlineStr">
        <is>
          <t>Tổng</t>
        </is>
      </c>
      <c r="B89" s="618">
        <f>SUM(B86:B88)</f>
        <v/>
      </c>
      <c r="C89" s="618" t="n">
        <v>17697819209</v>
      </c>
      <c r="D89" s="620">
        <f>B89-'B02'!D52</f>
        <v/>
      </c>
      <c r="E89" s="620">
        <f>C89-'B02'!E52</f>
        <v/>
      </c>
      <c r="H89" s="370" t="n"/>
    </row>
    <row r="90" ht="15" customFormat="1" customHeight="1" s="39">
      <c r="A90" s="172" t="inlineStr">
        <is>
          <t>5 Các khoản phải thu</t>
        </is>
      </c>
      <c r="B90" s="620" t="n"/>
      <c r="C90" s="620" t="n"/>
      <c r="D90" s="620" t="n"/>
      <c r="E90" s="620" t="n"/>
    </row>
    <row r="91" ht="21.75" customFormat="1" customHeight="1" s="39">
      <c r="A91" s="161" t="inlineStr">
        <is>
          <t>Chỉ tiêu</t>
        </is>
      </c>
      <c r="B91" s="615" t="inlineStr">
        <is>
          <t>Số cuối kỳ</t>
        </is>
      </c>
      <c r="C91" s="615" t="inlineStr">
        <is>
          <t>Số đầu kỳ</t>
        </is>
      </c>
      <c r="D91" s="620" t="n"/>
      <c r="E91" s="620" t="n"/>
    </row>
    <row r="92" ht="21.75" customFormat="1" customHeight="1" s="39">
      <c r="A92" s="163" t="inlineStr">
        <is>
          <t>Các khoản phải thu nội bộ</t>
        </is>
      </c>
      <c r="B92" s="631">
        <f>'so lieu'!F16+'so lieu'!F17</f>
        <v/>
      </c>
      <c r="C92" s="616" t="n">
        <v>12414546154</v>
      </c>
      <c r="D92" s="620" t="n"/>
      <c r="E92" s="620" t="n"/>
      <c r="F92" s="541" t="n"/>
    </row>
    <row r="93" ht="15" customFormat="1" customHeight="1" s="39">
      <c r="A93" s="163" t="inlineStr">
        <is>
          <t>Các khoản phải thu bên ngoài</t>
        </is>
      </c>
      <c r="B93" s="631">
        <f>'so lieu'!F13+'so lieu'!F15</f>
        <v/>
      </c>
      <c r="C93" s="616" t="n">
        <v>685409850</v>
      </c>
      <c r="D93" s="620" t="n"/>
      <c r="E93" s="620" t="n"/>
    </row>
    <row r="94" ht="15" customFormat="1" customHeight="1" s="39">
      <c r="A94" s="168" t="inlineStr">
        <is>
          <t>Tổng</t>
        </is>
      </c>
      <c r="B94" s="632">
        <f>SUM(B92:B93)</f>
        <v/>
      </c>
      <c r="C94" s="618" t="n">
        <v>13099956004</v>
      </c>
      <c r="D94" s="620">
        <f>B94-B86</f>
        <v/>
      </c>
      <c r="E94" s="620">
        <f>C94-C86</f>
        <v/>
      </c>
      <c r="XFD94" s="541">
        <f>SUM(C94:XFC94)</f>
        <v/>
      </c>
    </row>
    <row r="95" ht="15.75" customFormat="1" customHeight="1" s="39">
      <c r="A95" s="178" t="n"/>
      <c r="B95" s="619" t="n"/>
      <c r="C95" s="619" t="n"/>
      <c r="D95" s="620" t="n"/>
      <c r="E95" s="620" t="n"/>
      <c r="XFD95" s="541" t="n"/>
    </row>
    <row r="96" ht="15" customFormat="1" customHeight="1" s="39">
      <c r="A96" s="178" t="n"/>
      <c r="B96" s="619" t="n"/>
      <c r="C96" s="619" t="n"/>
      <c r="D96" s="620" t="n"/>
      <c r="E96" s="620" t="n"/>
      <c r="XFD96" s="541" t="n"/>
    </row>
    <row r="97" ht="19.5" customFormat="1" customHeight="1" s="157">
      <c r="A97" s="179" t="inlineStr">
        <is>
          <t>6.Các khoản nợ khác</t>
        </is>
      </c>
      <c r="B97" s="180" t="n"/>
      <c r="C97" s="633" t="n"/>
      <c r="D97" s="182" t="n"/>
      <c r="E97" s="182" t="n"/>
    </row>
    <row r="98" ht="28.5" customFormat="1" customHeight="1" s="157">
      <c r="A98" s="183" t="inlineStr">
        <is>
          <t>Chỉ tiêu</t>
        </is>
      </c>
      <c r="B98" s="184" t="inlineStr">
        <is>
          <t>Số cuối kỳ</t>
        </is>
      </c>
      <c r="C98" s="582" t="inlineStr">
        <is>
          <t>Số đầu kỳ (số đầu năm)</t>
        </is>
      </c>
      <c r="D98" s="182" t="n"/>
      <c r="E98" s="182" t="n"/>
    </row>
    <row r="99" ht="15" customFormat="1" customHeight="1" s="157">
      <c r="A99" s="185" t="inlineStr">
        <is>
          <t>Các khoản lãi và phí phải trả</t>
        </is>
      </c>
      <c r="B99" s="634">
        <f>'so lieu'!G35</f>
        <v/>
      </c>
      <c r="C99" s="634" t="n">
        <v>0</v>
      </c>
      <c r="D99" s="182" t="n"/>
      <c r="E99" s="182" t="n"/>
    </row>
    <row r="100" ht="15" customFormat="1" customHeight="1" s="157">
      <c r="A100" s="185" t="inlineStr">
        <is>
          <t>Các khoản phải trả cho CBNV</t>
        </is>
      </c>
      <c r="B100" s="123">
        <f>'so lieu'!G31</f>
        <v/>
      </c>
      <c r="C100" s="634" t="n">
        <v>5432454882</v>
      </c>
      <c r="D100" s="182" t="n"/>
      <c r="E100" s="182" t="n"/>
    </row>
    <row r="101" ht="15" customFormat="1" customHeight="1" s="157">
      <c r="A101" s="185" t="inlineStr">
        <is>
          <t>Các khoản phải trả NSNN</t>
        </is>
      </c>
      <c r="B101" s="123">
        <f>'so lieu'!G23+'so lieu'!G24+'so lieu'!G26</f>
        <v/>
      </c>
      <c r="C101" s="591" t="n">
        <v>2104207557</v>
      </c>
      <c r="D101" s="182" t="n"/>
      <c r="E101" s="182" t="n"/>
    </row>
    <row r="102" ht="24" customFormat="1" customHeight="1" s="157">
      <c r="A102" s="185" t="inlineStr">
        <is>
          <t>Các khoản phải trả về quỹ khen thưởng, phúc lợi</t>
        </is>
      </c>
      <c r="B102" s="123">
        <f>'so lieu'!G32+'so lieu'!G33</f>
        <v/>
      </c>
      <c r="C102" s="591" t="n">
        <v>538136029</v>
      </c>
      <c r="D102" s="182" t="n"/>
      <c r="E102" s="182" t="n"/>
    </row>
    <row r="103" ht="15" customFormat="1" customHeight="1" s="157">
      <c r="A103" s="185" t="inlineStr">
        <is>
          <t xml:space="preserve">Phải trả cho VN </t>
        </is>
      </c>
      <c r="B103" s="123" t="n"/>
      <c r="C103" s="123" t="n"/>
      <c r="D103" s="182" t="n"/>
      <c r="E103" s="182" t="n"/>
    </row>
    <row r="104" ht="15" customFormat="1" customHeight="1" s="157">
      <c r="A104" s="185" t="inlineStr">
        <is>
          <t>Kiều hối phải trả bằng ngoại tệ</t>
        </is>
      </c>
      <c r="B104" s="123">
        <f>'so lieu'!G28</f>
        <v/>
      </c>
      <c r="C104" s="123" t="n">
        <v>298689875593</v>
      </c>
      <c r="D104" s="182" t="n"/>
      <c r="E104" s="182" t="n"/>
    </row>
    <row r="105" ht="15" customFormat="1" customHeight="1" s="157">
      <c r="A105" s="185" t="inlineStr">
        <is>
          <t>Các khoản chờ thanh toán khác</t>
        </is>
      </c>
      <c r="B105" s="123">
        <f>'so lieu'!G29+'so lieu'!G30+'so lieu'!G34</f>
        <v/>
      </c>
      <c r="C105" s="591" t="n">
        <v>204359638696</v>
      </c>
      <c r="D105" s="182" t="n"/>
      <c r="E105" s="182" t="n"/>
    </row>
    <row r="106" ht="15" customFormat="1" customHeight="1" s="157">
      <c r="A106" s="183" t="inlineStr">
        <is>
          <t>Tổng</t>
        </is>
      </c>
      <c r="B106" s="211">
        <f>SUM(B99:B105)</f>
        <v/>
      </c>
      <c r="C106" s="211" t="n">
        <v>511124312757</v>
      </c>
      <c r="D106" s="633">
        <f>B106-'B02'!D70</f>
        <v/>
      </c>
      <c r="E106" s="635">
        <f>C106-'B02'!E70</f>
        <v/>
      </c>
      <c r="F106" s="636" t="n"/>
      <c r="G106" s="636" t="n"/>
    </row>
    <row r="107" ht="15.75" customFormat="1" customHeight="1" s="39">
      <c r="A107" s="172" t="inlineStr">
        <is>
          <t>6. Vốn và quỹ của Công ty</t>
        </is>
      </c>
      <c r="B107" s="620" t="n"/>
      <c r="C107" s="620" t="n"/>
      <c r="D107" s="620" t="n"/>
      <c r="E107" s="620" t="n"/>
    </row>
    <row r="108" ht="15" customFormat="1" customHeight="1" s="39">
      <c r="A108" s="488" t="inlineStr">
        <is>
          <t>6.1 Báo cáo tình hình thay đổi vốn chủ sở hữu</t>
        </is>
      </c>
      <c r="D108" s="620" t="n"/>
      <c r="E108" s="620" t="n"/>
    </row>
    <row r="109" ht="28.5" customFormat="1" customHeight="1" s="39">
      <c r="A109" s="173" t="inlineStr">
        <is>
          <t>Chỉ tiêu</t>
        </is>
      </c>
      <c r="B109" s="622" t="inlineStr">
        <is>
          <t>Số dư đầu kỳ (số đầu năm)</t>
        </is>
      </c>
      <c r="C109" s="622" t="inlineStr">
        <is>
          <t>Tăng trong kỳ</t>
        </is>
      </c>
      <c r="D109" s="622" t="inlineStr">
        <is>
          <t>Giảm trong kỳ</t>
        </is>
      </c>
      <c r="E109" s="622" t="inlineStr">
        <is>
          <t>Số dư cuối kỳ</t>
        </is>
      </c>
    </row>
    <row r="110" ht="15" customFormat="1" customHeight="1" s="39">
      <c r="A110" s="188" t="inlineStr">
        <is>
          <t>1. Vốn góp/Vốn điều lệ</t>
        </is>
      </c>
      <c r="B110" s="189" t="n">
        <v>50000000000</v>
      </c>
      <c r="C110" s="637" t="n">
        <v>0</v>
      </c>
      <c r="D110" s="638" t="n">
        <v>0</v>
      </c>
      <c r="E110" s="638">
        <f>B110+C110-D110</f>
        <v/>
      </c>
    </row>
    <row r="111" ht="15" customFormat="1" customHeight="1" s="39">
      <c r="A111" s="188" t="inlineStr">
        <is>
          <t>2. Thặng dư vốn cổ phần</t>
        </is>
      </c>
      <c r="B111" s="192" t="n">
        <v>0</v>
      </c>
      <c r="C111" s="639" t="n"/>
      <c r="D111" s="640" t="n"/>
      <c r="E111" s="638">
        <f>B111+C111-D111</f>
        <v/>
      </c>
    </row>
    <row r="112" ht="15" customFormat="1" customHeight="1" s="39">
      <c r="A112" s="188" t="inlineStr">
        <is>
          <t>3. Cổ phiếu quỹ</t>
        </is>
      </c>
      <c r="B112" s="192" t="n">
        <v>0</v>
      </c>
      <c r="C112" s="639" t="n"/>
      <c r="D112" s="640" t="n"/>
      <c r="E112" s="638">
        <f>B112+C112-D112</f>
        <v/>
      </c>
    </row>
    <row r="113" ht="15" customFormat="1" customHeight="1" s="39">
      <c r="A113" s="188" t="inlineStr">
        <is>
          <t>4. Chênh lệch đánh giá lại tài sản</t>
        </is>
      </c>
      <c r="B113" s="192" t="n">
        <v>0</v>
      </c>
      <c r="C113" s="639" t="n"/>
      <c r="D113" s="640" t="n"/>
      <c r="E113" s="638">
        <f>B113+C113-D113</f>
        <v/>
      </c>
    </row>
    <row r="114" ht="15" customFormat="1" customHeight="1" s="39">
      <c r="A114" s="188" t="inlineStr">
        <is>
          <t>5. Chênh lệch tỷ giá hối đoái</t>
        </is>
      </c>
      <c r="B114" s="192" t="n">
        <v>0</v>
      </c>
      <c r="C114" s="639" t="n"/>
      <c r="D114" s="640" t="n"/>
      <c r="E114" s="638">
        <f>B114+C114-D114</f>
        <v/>
      </c>
    </row>
    <row r="115" ht="15" customFormat="1" customHeight="1" s="39">
      <c r="A115" s="188" t="inlineStr">
        <is>
          <t>6. Quỹ đầu tư phát triển</t>
        </is>
      </c>
      <c r="B115" s="192" t="n">
        <v>0</v>
      </c>
      <c r="C115" s="639" t="n"/>
      <c r="D115" s="640" t="n"/>
      <c r="E115" s="638">
        <f>B115+C115-D115</f>
        <v/>
      </c>
    </row>
    <row r="116" ht="15" customFormat="1" customHeight="1" s="39">
      <c r="A116" s="188" t="inlineStr">
        <is>
          <t>7. Quỹ dự phòng tài chính</t>
        </is>
      </c>
      <c r="B116" s="641" t="n">
        <v>5336258205</v>
      </c>
      <c r="C116" s="639" t="n"/>
      <c r="D116" s="640" t="n"/>
      <c r="E116" s="638">
        <f>B116+C116-D116</f>
        <v/>
      </c>
      <c r="F116" s="620" t="n"/>
    </row>
    <row r="117" ht="15" customFormat="1" customHeight="1" s="39">
      <c r="A117" s="188" t="inlineStr">
        <is>
          <t>8. Quỹ dự trữ bổ sung vốn điều lệ</t>
        </is>
      </c>
      <c r="B117" s="641" t="n">
        <v>3793255874</v>
      </c>
      <c r="C117" s="639" t="n"/>
      <c r="D117" s="640" t="n"/>
      <c r="E117" s="638">
        <f>B117+C117-D117</f>
        <v/>
      </c>
      <c r="F117" s="620" t="n"/>
    </row>
    <row r="118" ht="15" customFormat="1" customHeight="1" s="39">
      <c r="A118" s="188" t="inlineStr">
        <is>
          <t>9. Quỹ khác thuộc vốn chủ sở hữu</t>
        </is>
      </c>
      <c r="B118" s="642" t="n"/>
      <c r="C118" s="639" t="n"/>
      <c r="D118" s="640" t="n"/>
      <c r="E118" s="638" t="n"/>
    </row>
    <row r="119" ht="15" customFormat="1" customHeight="1" s="39">
      <c r="A119" s="188" t="inlineStr">
        <is>
          <t>10. Lợi nhuận sau thuế chưa phân phối</t>
        </is>
      </c>
      <c r="B119" s="189" t="n">
        <v>17967434045</v>
      </c>
      <c r="C119" s="637">
        <f>'B03'!L36</f>
        <v/>
      </c>
      <c r="D119" s="640" t="n"/>
      <c r="E119" s="638">
        <f>B119+C119-D119</f>
        <v/>
      </c>
    </row>
    <row r="120" ht="15" customFormat="1" customHeight="1" s="39">
      <c r="A120" s="188" t="inlineStr">
        <is>
          <t>11. Lợi ích của cổ đông thiểu số</t>
        </is>
      </c>
      <c r="B120" s="192" t="n">
        <v>0</v>
      </c>
      <c r="C120" s="639" t="n"/>
      <c r="D120" s="640" t="n"/>
      <c r="E120" s="638">
        <f>B120+C120-D120</f>
        <v/>
      </c>
    </row>
    <row r="121" ht="15" customFormat="1" customHeight="1" s="39">
      <c r="A121" s="188" t="inlineStr">
        <is>
          <t>12. Vốn chủ sở hữu khác</t>
        </is>
      </c>
      <c r="B121" s="192" t="n">
        <v>0</v>
      </c>
      <c r="C121" s="639" t="n"/>
      <c r="D121" s="640" t="n"/>
      <c r="E121" s="638">
        <f>B121+C121-D121</f>
        <v/>
      </c>
    </row>
    <row r="122" ht="15" customFormat="1" customHeight="1" s="39">
      <c r="A122" s="197" t="inlineStr">
        <is>
          <t>Tổng cộng</t>
        </is>
      </c>
      <c r="B122" s="643">
        <f>SUM(B110:B121)</f>
        <v/>
      </c>
      <c r="C122" s="643">
        <f>SUM(C110:C121)</f>
        <v/>
      </c>
      <c r="D122" s="643">
        <f>SUM(D110:D121)</f>
        <v/>
      </c>
      <c r="E122" s="643">
        <f>SUM(E110:E121)</f>
        <v/>
      </c>
      <c r="F122" s="541">
        <f>E122-'B02'!D76</f>
        <v/>
      </c>
      <c r="G122" s="541" t="n"/>
    </row>
    <row r="123" hidden="1" ht="15" customFormat="1" customHeight="1" s="39">
      <c r="B123" s="620" t="n"/>
      <c r="C123" s="620" t="n"/>
      <c r="D123" s="620" t="n"/>
      <c r="E123" s="620" t="n"/>
    </row>
    <row r="124" ht="15" customFormat="1" customHeight="1" s="39">
      <c r="A124" s="488" t="inlineStr">
        <is>
          <t>VI. Thông tin bổ sung cho các khoản mục trình bày trong BCKQHĐKD</t>
        </is>
      </c>
      <c r="D124" s="620" t="n"/>
      <c r="E124" s="620" t="n"/>
    </row>
    <row r="125" ht="15" customFormat="1" customHeight="1" s="39">
      <c r="A125" s="488" t="inlineStr">
        <is>
          <t>7. Thu nhập lãi và các khoản thu nhập tương tự</t>
        </is>
      </c>
      <c r="D125" s="620" t="n"/>
      <c r="E125" s="620" t="n"/>
    </row>
    <row r="126" ht="60" customFormat="1" customHeight="1" s="39">
      <c r="A126" s="199" t="inlineStr">
        <is>
          <t>Chỉ tiêu</t>
        </is>
      </c>
      <c r="B126" s="644" t="inlineStr">
        <is>
          <t xml:space="preserve"> Kỳ này (số luỹ kế từ đầu năm đến cuối quý báo cáo năm nay) </t>
        </is>
      </c>
      <c r="C126" s="644" t="inlineStr">
        <is>
          <t>Kỳ trước (số luỹ kế từ đầu năm đến cuối quý báo cáo năm trước)</t>
        </is>
      </c>
      <c r="D126" s="620" t="n"/>
      <c r="E126" s="620" t="n"/>
    </row>
    <row r="127" ht="15" customFormat="1" customHeight="1" s="39">
      <c r="A127" s="200" t="inlineStr">
        <is>
          <t>Thu nhập lãi tiền gửi</t>
        </is>
      </c>
      <c r="B127" s="638">
        <f>'B03'!L14</f>
        <v/>
      </c>
      <c r="C127" s="638">
        <f>'B03'!M14</f>
        <v/>
      </c>
      <c r="D127" s="620" t="n"/>
      <c r="E127" s="620" t="n"/>
    </row>
    <row r="128" ht="15" customFormat="1" customHeight="1" s="39">
      <c r="A128" s="200" t="inlineStr">
        <is>
          <t>Chi phí lãi vay</t>
        </is>
      </c>
      <c r="B128" s="638" t="n">
        <v>0</v>
      </c>
      <c r="C128" s="638" t="n">
        <v>0</v>
      </c>
      <c r="D128" s="620" t="n"/>
      <c r="E128" s="620" t="n"/>
    </row>
    <row r="129" ht="15" customFormat="1" customHeight="1" s="39">
      <c r="A129" s="201" t="inlineStr">
        <is>
          <t>Tổng</t>
        </is>
      </c>
      <c r="B129" s="645">
        <f>B127-B128</f>
        <v/>
      </c>
      <c r="C129" s="645">
        <f>C127</f>
        <v/>
      </c>
      <c r="D129" s="620" t="n"/>
      <c r="E129" s="620" t="n"/>
    </row>
    <row r="130" ht="15" customFormat="1" customHeight="1" s="39">
      <c r="A130" s="202" t="n"/>
      <c r="B130" s="646" t="n"/>
      <c r="C130" s="646" t="n"/>
      <c r="D130" s="620" t="n"/>
      <c r="E130" s="620" t="n"/>
    </row>
    <row r="131" ht="15" customFormat="1" customHeight="1" s="39">
      <c r="A131" s="488" t="inlineStr">
        <is>
          <t>8. Lãi/lỗ thuần từ hoạt động dịch vụ.</t>
        </is>
      </c>
      <c r="D131" s="620" t="n"/>
      <c r="E131" s="620" t="n"/>
    </row>
    <row r="132" ht="60" customFormat="1" customHeight="1" s="39">
      <c r="A132" s="161" t="inlineStr">
        <is>
          <t>Chỉ tiêu</t>
        </is>
      </c>
      <c r="B132" s="644" t="inlineStr">
        <is>
          <t xml:space="preserve"> Kỳ này (số luỹ kế từ đầu năm đến cuối quý báo cáo năm nay) </t>
        </is>
      </c>
      <c r="C132" s="644" t="inlineStr">
        <is>
          <t>Kỳ trước (số luỹ kế từ đầu năm đến cuối quý báo cáo năm trước)</t>
        </is>
      </c>
      <c r="D132" s="620" t="n"/>
      <c r="E132" s="620" t="n"/>
    </row>
    <row r="133" ht="15" customFormat="1" customHeight="1" s="39">
      <c r="A133" s="163" t="inlineStr">
        <is>
          <t>a- Thu phí dịch vụ</t>
        </is>
      </c>
      <c r="B133" s="616" t="n"/>
      <c r="C133" s="616" t="n"/>
      <c r="D133" s="620" t="n"/>
      <c r="E133" s="620" t="n"/>
    </row>
    <row r="134" ht="15" customFormat="1" customHeight="1" s="39">
      <c r="A134" s="170" t="inlineStr">
        <is>
          <t>-          Thu từ dịch vụ thanh toán</t>
        </is>
      </c>
      <c r="B134" s="616">
        <f>'B03'!L17</f>
        <v/>
      </c>
      <c r="C134" s="616">
        <f>'B03'!M17</f>
        <v/>
      </c>
      <c r="D134" s="620" t="n"/>
      <c r="E134" s="620" t="n"/>
    </row>
    <row r="135" ht="15" customFormat="1" customHeight="1" s="39">
      <c r="A135" s="170" t="inlineStr">
        <is>
          <t>-          Thu khác</t>
        </is>
      </c>
      <c r="B135" s="616" t="n"/>
      <c r="C135" s="616" t="n"/>
      <c r="D135" s="620" t="n"/>
      <c r="E135" s="620" t="n"/>
    </row>
    <row r="136" ht="15" customFormat="1" customHeight="1" s="39">
      <c r="A136" s="163" t="inlineStr">
        <is>
          <t>b-Chi về dịch vụ thanh toán</t>
        </is>
      </c>
      <c r="B136" s="616">
        <f>'B03'!L18</f>
        <v/>
      </c>
      <c r="C136" s="616">
        <f>'B03'!M18</f>
        <v/>
      </c>
      <c r="D136" s="620" t="n"/>
      <c r="E136" s="620" t="n"/>
    </row>
    <row r="137" ht="15" customFormat="1" customHeight="1" s="39">
      <c r="A137" s="163" t="inlineStr">
        <is>
          <t>c-Thu nhập thuần từ phí dịch vụ</t>
        </is>
      </c>
      <c r="B137" s="618">
        <f>B134-B136</f>
        <v/>
      </c>
      <c r="C137" s="618">
        <f>C134-C136</f>
        <v/>
      </c>
      <c r="D137" s="620">
        <f>B137-'B03'!L19</f>
        <v/>
      </c>
      <c r="E137" s="620">
        <f>C137-'B03'!M19</f>
        <v/>
      </c>
    </row>
    <row r="138" ht="15" customFormat="1" customHeight="1" s="39">
      <c r="A138" s="489" t="inlineStr">
        <is>
          <t>9. Lãi/lỗ thuần từ hoạt động kinh doanh ngoại hối</t>
        </is>
      </c>
      <c r="B138" s="647" t="n"/>
      <c r="C138" s="647" t="n"/>
      <c r="D138" s="620" t="n"/>
      <c r="E138" s="620" t="n"/>
    </row>
    <row r="139" ht="60" customFormat="1" customHeight="1" s="39">
      <c r="A139" s="161" t="inlineStr">
        <is>
          <t>Chỉ tiêu</t>
        </is>
      </c>
      <c r="B139" s="644" t="inlineStr">
        <is>
          <t xml:space="preserve"> Kỳ này (số luỹ kế từ đầu năm đến cuối quý báo cáo năm nay) </t>
        </is>
      </c>
      <c r="C139" s="644" t="inlineStr">
        <is>
          <t>Kỳ trước (số luỹ kế từ đầu năm đến cuối quý báo cáo năm trước)</t>
        </is>
      </c>
      <c r="D139" s="620" t="n"/>
      <c r="E139" s="620" t="n"/>
    </row>
    <row r="140" ht="15" customFormat="1" customHeight="1" s="39">
      <c r="A140" s="188" t="inlineStr">
        <is>
          <t>a-Thu nhập từ hoạt động kinh doanh ngoại hối</t>
        </is>
      </c>
      <c r="B140" s="616">
        <f>'so lieu'!G44</f>
        <v/>
      </c>
      <c r="C140" s="616" t="n">
        <v>456742173</v>
      </c>
      <c r="D140" s="620" t="n"/>
      <c r="E140" s="620" t="n"/>
    </row>
    <row r="141" hidden="1" ht="15" customFormat="1" customHeight="1" s="39">
      <c r="A141" s="188" t="inlineStr">
        <is>
          <t>Thu từ kinh doanh ngoại tệ giao ngay</t>
        </is>
      </c>
      <c r="B141" s="616" t="n"/>
      <c r="C141" s="616" t="n"/>
      <c r="D141" s="620" t="n"/>
      <c r="E141" s="620" t="n"/>
    </row>
    <row r="142" ht="15" customFormat="1" customHeight="1" s="39">
      <c r="A142" s="188" t="inlineStr">
        <is>
          <t>b-Chi phí hoạt động kinh doanh ngoại hối</t>
        </is>
      </c>
      <c r="B142" s="616">
        <f>'so lieu'!F48</f>
        <v/>
      </c>
      <c r="C142" s="616" t="n">
        <v>31272</v>
      </c>
      <c r="D142" s="620" t="n"/>
      <c r="E142" s="620" t="n"/>
    </row>
    <row r="143" hidden="1" ht="15" customFormat="1" customHeight="1" s="39">
      <c r="A143" s="188" t="inlineStr">
        <is>
          <t>Chi từ kinh doanh ngoại tệ giao ngay</t>
        </is>
      </c>
      <c r="B143" s="616" t="n"/>
      <c r="C143" s="616" t="n"/>
      <c r="D143" s="620" t="n"/>
      <c r="E143" s="620" t="n"/>
    </row>
    <row r="144" ht="15" customFormat="1" customHeight="1" s="39">
      <c r="A144" s="188" t="inlineStr">
        <is>
          <t>c-Lãi/lỗ thuần từ hoạt động kinh doanh ngoại hối</t>
        </is>
      </c>
      <c r="B144" s="618">
        <f>B140-B142</f>
        <v/>
      </c>
      <c r="C144" s="618" t="n">
        <v>456710901</v>
      </c>
      <c r="D144" s="620">
        <f>B144-'B03'!L20</f>
        <v/>
      </c>
      <c r="E144" s="620">
        <f>C144-'B03'!M20</f>
        <v/>
      </c>
      <c r="F144" s="541" t="n"/>
    </row>
    <row r="145" ht="15" customFormat="1" customHeight="1" s="39">
      <c r="A145" s="172" t="inlineStr">
        <is>
          <t>10. Chi phí hoạt động</t>
        </is>
      </c>
      <c r="B145" s="620" t="n"/>
      <c r="C145" s="620" t="n"/>
      <c r="D145" s="620" t="n"/>
      <c r="E145" s="620" t="n"/>
    </row>
    <row r="146" ht="44.25" customFormat="1" customHeight="1" s="39">
      <c r="A146" s="204" t="inlineStr">
        <is>
          <t>Chỉ tiêu</t>
        </is>
      </c>
      <c r="B146" s="648" t="inlineStr">
        <is>
          <t>Kỳ này (số luỹ kế từ đầu năm đến cuối quý báo cáo năm nay)</t>
        </is>
      </c>
      <c r="C146" s="648" t="inlineStr">
        <is>
          <t>Kỳ trước (số luỹ kế từ đầu năm đến cuối quý báo cáo năm trước)</t>
        </is>
      </c>
      <c r="D146" s="620" t="n"/>
      <c r="E146" s="620" t="n"/>
    </row>
    <row r="147" ht="15" customFormat="1" customHeight="1" s="39">
      <c r="A147" s="163" t="inlineStr">
        <is>
          <t>1. Chi nộp thuế và các khoản phí, lệ phí</t>
        </is>
      </c>
      <c r="B147" s="616">
        <f>'so lieu'!F49+'so lieu'!F50</f>
        <v/>
      </c>
      <c r="C147" s="616" t="n">
        <v>4850000</v>
      </c>
      <c r="D147" s="620" t="n"/>
      <c r="E147" s="620" t="n"/>
    </row>
    <row r="148" ht="15" customFormat="1" customHeight="1" s="39">
      <c r="A148" s="163" t="inlineStr">
        <is>
          <t>2. Chi phí cho nhân viên:</t>
        </is>
      </c>
      <c r="B148" s="616">
        <f>SUM('so lieu'!F53:F61)</f>
        <v/>
      </c>
      <c r="C148" s="616" t="n">
        <v>4334864977</v>
      </c>
      <c r="D148" s="620" t="n"/>
      <c r="E148" s="620" t="n"/>
    </row>
    <row r="149" ht="15" customFormat="1" customHeight="1" s="39">
      <c r="A149" s="163" t="inlineStr">
        <is>
          <t>Trong đó:</t>
        </is>
      </c>
      <c r="B149" s="617" t="n"/>
      <c r="C149" s="617" t="n"/>
      <c r="D149" s="620" t="n"/>
      <c r="E149" s="620" t="n"/>
    </row>
    <row r="150" ht="15" customFormat="1" customHeight="1" s="39">
      <c r="A150" s="163" t="inlineStr">
        <is>
          <t>- Chi lương và phụ cấp</t>
        </is>
      </c>
      <c r="B150" s="616">
        <f>'so lieu'!F53+'so lieu'!F54</f>
        <v/>
      </c>
      <c r="C150" s="616" t="n">
        <v>3392463900</v>
      </c>
      <c r="D150" s="620" t="n"/>
      <c r="E150" s="620" t="n"/>
    </row>
    <row r="151" ht="15" customFormat="1" customHeight="1" s="39">
      <c r="A151" s="163" t="inlineStr">
        <is>
          <t>- Các khoản chi đóng góp theo lương</t>
        </is>
      </c>
      <c r="B151" s="616">
        <f>'so lieu'!F56+'so lieu'!F57+'so lieu'!F58+'so lieu'!F59</f>
        <v/>
      </c>
      <c r="C151" s="616" t="n">
        <v>241878115</v>
      </c>
      <c r="D151" s="620" t="n"/>
      <c r="E151" s="620" t="n"/>
    </row>
    <row r="152" ht="15" customFormat="1" customHeight="1" s="39">
      <c r="A152" s="163" t="inlineStr">
        <is>
          <t>- Chi trợ cấp</t>
        </is>
      </c>
      <c r="B152" s="616" t="n"/>
      <c r="C152" s="616" t="n"/>
      <c r="D152" s="620" t="n"/>
      <c r="E152" s="620" t="n"/>
    </row>
    <row r="153" ht="15" customFormat="1" customHeight="1" s="39">
      <c r="A153" s="163" t="inlineStr">
        <is>
          <t xml:space="preserve"> - Chi cho nhân viên</t>
        </is>
      </c>
      <c r="B153" s="616">
        <f>'so lieu'!F61</f>
        <v/>
      </c>
      <c r="C153" s="616" t="n">
        <v>466863700</v>
      </c>
      <c r="D153" s="620" t="n"/>
      <c r="E153" s="620" t="n"/>
    </row>
    <row r="154" ht="15" customFormat="1" customHeight="1" s="39">
      <c r="A154" s="163" t="inlineStr">
        <is>
          <t>3. Chi về tài sản:</t>
        </is>
      </c>
      <c r="B154" s="616">
        <f>'so lieu'!F79+'so lieu'!F80+'so lieu'!F81+'so lieu'!F83</f>
        <v/>
      </c>
      <c r="C154" s="616" t="n">
        <v>42105755</v>
      </c>
      <c r="D154" s="620" t="n"/>
      <c r="E154" s="620" t="n"/>
    </row>
    <row r="155" ht="15" customFormat="1" customHeight="1" s="39">
      <c r="A155" s="163" t="inlineStr">
        <is>
          <t>Trong đó: Khấu hao TSCĐ</t>
        </is>
      </c>
      <c r="B155" s="616">
        <f>'so lieu'!F79</f>
        <v/>
      </c>
      <c r="C155" s="616" t="n">
        <v>5725755</v>
      </c>
      <c r="D155" s="620" t="n"/>
      <c r="E155" s="620" t="n"/>
    </row>
    <row r="156" ht="15" customFormat="1" customHeight="1" s="39">
      <c r="A156" s="163" t="inlineStr">
        <is>
          <t>4. Chi cho hoạt động quản lý công vụ:</t>
        </is>
      </c>
      <c r="B156" s="616">
        <f>SUM('so lieu'!F62:F78)</f>
        <v/>
      </c>
      <c r="C156" s="616" t="n">
        <v>1293632924</v>
      </c>
      <c r="D156" s="620" t="n"/>
      <c r="E156" s="620" t="n"/>
    </row>
    <row r="157" ht="15" customFormat="1" customHeight="1" s="39">
      <c r="A157" s="163" t="inlineStr">
        <is>
          <t>Trong đó:</t>
        </is>
      </c>
      <c r="B157" s="617" t="n"/>
      <c r="C157" s="617" t="n"/>
      <c r="D157" s="620" t="n"/>
      <c r="E157" s="620" t="n"/>
    </row>
    <row r="158" ht="15" customFormat="1" customHeight="1" s="39">
      <c r="A158" s="163" t="inlineStr">
        <is>
          <t>- Công tác phí</t>
        </is>
      </c>
      <c r="B158" s="616">
        <f>'so lieu'!F66</f>
        <v/>
      </c>
      <c r="C158" s="616" t="n">
        <v>23067944</v>
      </c>
      <c r="D158" s="620" t="n"/>
      <c r="E158" s="620" t="n"/>
    </row>
    <row r="159" ht="15" customFormat="1" customHeight="1" s="39">
      <c r="A159" s="188" t="inlineStr">
        <is>
          <t>- Chi về các hoạt động đoàn thể của TCTD</t>
        </is>
      </c>
      <c r="B159" s="616">
        <f>'[2]so lieu'!F110</f>
        <v/>
      </c>
      <c r="C159" s="616" t="n">
        <v>0</v>
      </c>
      <c r="D159" s="620" t="n"/>
      <c r="E159" s="620" t="n"/>
    </row>
    <row r="160" ht="30" customFormat="1" customHeight="1" s="39">
      <c r="A160" s="188" t="inlineStr">
        <is>
          <t>5. Chi nộp phí bảo hiểm, bảo toàn tiền gửi của khách hàng</t>
        </is>
      </c>
      <c r="B160" s="616">
        <f>'so lieu'!F82</f>
        <v/>
      </c>
      <c r="C160" s="616" t="n">
        <v>0</v>
      </c>
      <c r="D160" s="620" t="n"/>
      <c r="E160" s="620" t="n"/>
    </row>
    <row r="161" ht="45" customFormat="1" customHeight="1" s="39">
      <c r="A161" s="188" t="inlineStr">
        <is>
          <t>6. Chi phí dự phòng (không tính chi phí dự phòng rủi ro tín dụng nội và ngoại bảng; chi phí dự phòng giảm giá chứng khoán)</t>
        </is>
      </c>
      <c r="B161" s="616" t="n"/>
      <c r="C161" s="616" t="n"/>
      <c r="D161" s="620" t="n"/>
      <c r="E161" s="620" t="n"/>
    </row>
    <row r="162" ht="15" customFormat="1" customHeight="1" s="39">
      <c r="A162" s="163" t="inlineStr">
        <is>
          <t>7. Chi hoạt động khác</t>
        </is>
      </c>
      <c r="B162" s="616">
        <f>'so lieu'!F84</f>
        <v/>
      </c>
      <c r="C162" s="616" t="n">
        <v>105250</v>
      </c>
      <c r="D162" s="620" t="n"/>
      <c r="E162" s="620" t="n"/>
    </row>
    <row r="163" ht="15" customFormat="1" customHeight="1" s="39">
      <c r="A163" s="168" t="inlineStr">
        <is>
          <t>Tổng</t>
        </is>
      </c>
      <c r="B163" s="618">
        <f>B147+B148+B156+B160+B154</f>
        <v/>
      </c>
      <c r="C163" s="618" t="n">
        <v>5675453656</v>
      </c>
      <c r="D163" s="620">
        <f>B163-'B03'!L27</f>
        <v/>
      </c>
      <c r="E163" s="620">
        <f>C163-'B03'!M27</f>
        <v/>
      </c>
    </row>
    <row r="164" hidden="1" ht="15" customFormat="1" customHeight="1" s="39">
      <c r="A164" s="172" t="inlineStr">
        <is>
          <t>11. Chi phí thuế thu nhập</t>
        </is>
      </c>
      <c r="B164" s="649" t="n"/>
      <c r="C164" s="620" t="n"/>
      <c r="D164" s="620" t="n"/>
      <c r="E164" s="620" t="n"/>
    </row>
    <row r="165" hidden="1" ht="15" customFormat="1" customHeight="1" s="39">
      <c r="A165" s="161" t="inlineStr">
        <is>
          <t>Chỉ tiêu</t>
        </is>
      </c>
      <c r="B165" s="615" t="inlineStr">
        <is>
          <t>Kỳ này</t>
        </is>
      </c>
      <c r="C165" s="615" t="inlineStr">
        <is>
          <t>Kỳ trước</t>
        </is>
      </c>
      <c r="D165" s="620" t="n"/>
      <c r="E165" s="620" t="n"/>
    </row>
    <row r="166" hidden="1" ht="35.25" customFormat="1" customHeight="1" s="39">
      <c r="A166" s="188" t="inlineStr">
        <is>
          <t>Chi phí thuế thu nhập doanh nghiệp hiện hành kỳ trước</t>
        </is>
      </c>
      <c r="B166" s="616" t="n">
        <v>0</v>
      </c>
      <c r="C166" s="616" t="n">
        <v>35620177</v>
      </c>
      <c r="D166" s="620" t="n"/>
      <c r="E166" s="620" t="n"/>
    </row>
    <row r="167" hidden="1" ht="15" customFormat="1" customHeight="1" s="39">
      <c r="A167" s="163" t="inlineStr">
        <is>
          <t>1. Lợi nhuận trước thuế TNDN</t>
        </is>
      </c>
      <c r="B167" s="616">
        <f>'B03'!L30</f>
        <v/>
      </c>
      <c r="C167" s="616" t="n">
        <v>55985433053</v>
      </c>
      <c r="D167" s="620" t="n"/>
      <c r="E167" s="620" t="n"/>
    </row>
    <row r="168" hidden="1" ht="15" customFormat="1" customHeight="1" s="39">
      <c r="A168" s="163" t="inlineStr">
        <is>
          <t>2. Thu nhập chịu thuế</t>
        </is>
      </c>
      <c r="B168" s="616">
        <f>45864738949</f>
        <v/>
      </c>
      <c r="C168" s="616" t="n">
        <v>55818932170</v>
      </c>
      <c r="D168" s="620" t="n"/>
      <c r="E168" s="620" t="n"/>
    </row>
    <row r="169" hidden="1" ht="30" customFormat="1" customHeight="1" s="39">
      <c r="A169" s="188" t="inlineStr">
        <is>
          <t>3. Chi phí thuế TNDN tính trên TN chịu thuế kỳ hiện hành</t>
        </is>
      </c>
      <c r="B169" s="616" t="n">
        <v>9172947790</v>
      </c>
      <c r="C169" s="616" t="n">
        <v>11163786434</v>
      </c>
      <c r="D169" s="620" t="n"/>
      <c r="E169" s="620" t="n"/>
    </row>
    <row r="170" hidden="1" ht="15" customFormat="1" customHeight="1" s="39">
      <c r="A170" s="163" t="inlineStr">
        <is>
          <t>4. Tổng chi phí thuế TNDN hiện hành</t>
        </is>
      </c>
      <c r="B170" s="616">
        <f>B169</f>
        <v/>
      </c>
      <c r="C170" s="616" t="n">
        <v>11199406611</v>
      </c>
      <c r="D170" s="620" t="n"/>
      <c r="E170" s="620" t="n"/>
    </row>
    <row r="171" hidden="1" ht="15" customFormat="1" customHeight="1" s="39">
      <c r="A171" s="163" t="inlineStr">
        <is>
          <t>5. Thuế TNDN còn phải nộp cuối kỳ</t>
        </is>
      </c>
      <c r="B171" s="650" t="n">
        <v>2477488876</v>
      </c>
      <c r="C171" s="650" t="n">
        <v>4528918545</v>
      </c>
      <c r="D171" s="620" t="n"/>
      <c r="E171" s="620" t="n"/>
    </row>
    <row r="172" ht="15" customFormat="1" customHeight="1" s="39">
      <c r="A172" s="488" t="inlineStr">
        <is>
          <t>VII. Thông tin bổ sung một số khoản mục trình bày trên BCLCTT</t>
        </is>
      </c>
    </row>
    <row r="173" ht="15" customFormat="1" customHeight="1" s="39">
      <c r="A173" s="172" t="inlineStr">
        <is>
          <t>11. Tiền và các khoản tương đương tiền</t>
        </is>
      </c>
      <c r="B173" s="620" t="n"/>
      <c r="C173" s="620" t="n"/>
      <c r="D173" s="620" t="n"/>
      <c r="E173" s="620" t="n"/>
    </row>
    <row r="174" ht="15" customFormat="1" customHeight="1" s="39">
      <c r="A174" s="201" t="inlineStr">
        <is>
          <t>Chỉ tiêu</t>
        </is>
      </c>
      <c r="B174" s="651" t="inlineStr">
        <is>
          <t>Cuối kỳ</t>
        </is>
      </c>
      <c r="C174" s="651" t="inlineStr">
        <is>
          <t>Đầu kỳ ( đầu năm)</t>
        </is>
      </c>
      <c r="D174" s="620" t="n"/>
      <c r="E174" s="620" t="n"/>
    </row>
    <row r="175" ht="27" customFormat="1" customHeight="1" s="39">
      <c r="A175" s="188" t="inlineStr">
        <is>
          <t>Tiền mặt và các khoản tương đương tiền tại quỹ</t>
        </is>
      </c>
      <c r="B175" s="638">
        <f>'so lieu'!F1</f>
        <v/>
      </c>
      <c r="C175" s="638">
        <f>'B02'!E11</f>
        <v/>
      </c>
      <c r="D175" s="620" t="n"/>
      <c r="E175" s="620" t="n"/>
    </row>
    <row r="176" ht="15" customFormat="1" customHeight="1" s="39">
      <c r="A176" s="188" t="inlineStr">
        <is>
          <t>Tiền gửi tại NHNN</t>
        </is>
      </c>
      <c r="B176" s="638" t="n"/>
      <c r="C176" s="638" t="n"/>
      <c r="D176" s="620" t="n"/>
      <c r="E176" s="620" t="n"/>
    </row>
    <row r="177" ht="15" customFormat="1" customHeight="1" s="39">
      <c r="A177" s="188" t="inlineStr">
        <is>
          <t>Tiền, vàng gửi tại các TCTD khác</t>
        </is>
      </c>
      <c r="B177" s="638">
        <f>'so lieu'!F2+'so lieu'!F3+'so lieu'!F4</f>
        <v/>
      </c>
      <c r="C177" s="638">
        <f>'B02'!E14</f>
        <v/>
      </c>
      <c r="D177" s="620" t="n"/>
      <c r="E177" s="620" t="n"/>
    </row>
    <row r="178" ht="30" customFormat="1" customHeight="1" s="39">
      <c r="A178" s="188" t="inlineStr">
        <is>
          <t>Tiền, vàng gửi có kỳ hạn và cho vay các TCTD khác có thời gian đáo hạn dưới 3 tháng</t>
        </is>
      </c>
      <c r="B178" s="638" t="n"/>
      <c r="C178" s="638" t="n"/>
      <c r="D178" s="620" t="n"/>
      <c r="E178" s="620" t="n"/>
    </row>
    <row r="179" ht="30" customFormat="1" customHeight="1" s="39">
      <c r="A179" s="188" t="inlineStr">
        <is>
          <t>Chứng khoán có thời hạn thu hồi hoặc đáo hạn dưới 3 tháng kể từ ngày mua</t>
        </is>
      </c>
      <c r="B179" s="638" t="n"/>
      <c r="C179" s="638" t="n"/>
      <c r="D179" s="620" t="n"/>
      <c r="E179" s="620" t="n"/>
    </row>
    <row r="180" ht="15" customFormat="1" customHeight="1" s="39">
      <c r="A180" s="201" t="inlineStr">
        <is>
          <t>Tổng</t>
        </is>
      </c>
      <c r="B180" s="645">
        <f>B175+B177+B178</f>
        <v/>
      </c>
      <c r="C180" s="645">
        <f>C175+C177+C178</f>
        <v/>
      </c>
      <c r="D180" s="620">
        <f>B180-'B02'!D13-'B02'!D11</f>
        <v/>
      </c>
      <c r="E180" s="620">
        <f>C180-'B02'!E13-'B02'!E11</f>
        <v/>
      </c>
    </row>
    <row r="181" ht="15" customFormat="1" customHeight="1" s="39">
      <c r="A181" s="172" t="inlineStr">
        <is>
          <t>VIII.  Các thông tin khác</t>
        </is>
      </c>
      <c r="B181" s="620" t="n"/>
      <c r="C181" s="620" t="n"/>
      <c r="D181" s="620" t="n"/>
      <c r="E181" s="620" t="n"/>
    </row>
    <row r="182" hidden="1" ht="15" customFormat="1" customHeight="1" s="39">
      <c r="A182" s="490" t="inlineStr">
        <is>
          <t>13. TÌnh hình thu nhập của cán bộ công nhân viên</t>
        </is>
      </c>
      <c r="B182" s="652" t="n"/>
      <c r="C182" s="652" t="n"/>
      <c r="D182" s="620" t="n"/>
      <c r="E182" s="620" t="n"/>
    </row>
    <row r="183" hidden="1" ht="15" customFormat="1" customHeight="1" s="39">
      <c r="A183" s="161" t="inlineStr">
        <is>
          <t>Chỉ tiêu</t>
        </is>
      </c>
      <c r="B183" s="615" t="inlineStr">
        <is>
          <t>Kỳ này (năm nay)</t>
        </is>
      </c>
      <c r="C183" s="615" t="inlineStr">
        <is>
          <t>Kỳ trước (năm trước)</t>
        </is>
      </c>
      <c r="D183" s="620" t="n"/>
      <c r="E183" s="620" t="n"/>
    </row>
    <row r="184" hidden="1" ht="15" customFormat="1" customHeight="1" s="39">
      <c r="A184" s="163" t="inlineStr">
        <is>
          <t>I. Tổng số cán bộ CNV</t>
        </is>
      </c>
      <c r="B184" s="616" t="n">
        <v>34</v>
      </c>
      <c r="C184" s="616" t="n">
        <v>34</v>
      </c>
      <c r="D184" s="620" t="n"/>
      <c r="E184" s="620" t="n"/>
    </row>
    <row r="185" hidden="1" ht="15" customFormat="1" customHeight="1" s="39">
      <c r="A185" s="163" t="inlineStr">
        <is>
          <t>II. Thu nhập của cán bộ</t>
        </is>
      </c>
      <c r="B185" s="616" t="n"/>
      <c r="C185" s="616" t="n"/>
      <c r="D185" s="620" t="n"/>
      <c r="E185" s="620" t="n"/>
    </row>
    <row r="186" hidden="1" ht="15" customFormat="1" customHeight="1" s="39">
      <c r="A186" s="163" t="inlineStr">
        <is>
          <t>1. Tổng quỹ lương</t>
        </is>
      </c>
      <c r="B186" s="616">
        <f>'so lieu'!F53</f>
        <v/>
      </c>
      <c r="C186" s="616" t="n">
        <v>9899787722</v>
      </c>
      <c r="D186" s="620" t="n"/>
      <c r="E186" s="620" t="n"/>
    </row>
    <row r="187" hidden="1" ht="15" customFormat="1" customHeight="1" s="39">
      <c r="A187" s="163" t="inlineStr">
        <is>
          <t>2. Tiền thưởng</t>
        </is>
      </c>
      <c r="B187" s="617" t="n"/>
      <c r="C187" s="617" t="n"/>
      <c r="D187" s="620" t="n"/>
      <c r="E187" s="620" t="n"/>
    </row>
    <row r="188" hidden="1" ht="15" customFormat="1" customHeight="1" s="39">
      <c r="A188" s="163" t="inlineStr">
        <is>
          <t xml:space="preserve">3. Thu nhập khác </t>
        </is>
      </c>
      <c r="B188" s="616">
        <f>'so lieu'!F54</f>
        <v/>
      </c>
      <c r="C188" s="616" t="n">
        <v>718050126</v>
      </c>
      <c r="D188" s="620" t="n"/>
      <c r="E188" s="620" t="n"/>
    </row>
    <row r="189" hidden="1" ht="15" customFormat="1" customHeight="1" s="39">
      <c r="A189" s="163" t="inlineStr">
        <is>
          <t>4. Tiền lương bình quân</t>
        </is>
      </c>
      <c r="B189" s="617" t="n"/>
      <c r="C189" s="617" t="n"/>
      <c r="D189" s="620" t="n"/>
      <c r="E189" s="620" t="n"/>
    </row>
    <row r="190" hidden="1" ht="15" customFormat="1" customHeight="1" s="39">
      <c r="A190" s="163" t="inlineStr">
        <is>
          <t>5. Thu nhập bình quân</t>
        </is>
      </c>
      <c r="B190" s="617" t="n"/>
      <c r="C190" s="617" t="n"/>
      <c r="D190" s="620" t="n"/>
      <c r="E190" s="620" t="n"/>
    </row>
    <row r="191" hidden="1" ht="15" customFormat="1" customHeight="1" s="39">
      <c r="A191" s="208" t="n"/>
      <c r="B191" s="620" t="n"/>
      <c r="C191" s="620" t="n"/>
      <c r="D191" s="620" t="n"/>
      <c r="E191" s="620" t="n"/>
    </row>
    <row r="192" hidden="1" ht="15" customFormat="1" customHeight="1" s="39">
      <c r="A192" s="208" t="n"/>
      <c r="B192" s="620" t="n"/>
      <c r="C192" s="620" t="n"/>
      <c r="D192" s="620" t="n"/>
      <c r="E192" s="620" t="n"/>
    </row>
    <row r="193" hidden="1" ht="15" customFormat="1" customHeight="1" s="39">
      <c r="A193" s="208" t="n"/>
      <c r="B193" s="620" t="n"/>
      <c r="C193" s="620" t="n"/>
      <c r="D193" s="620" t="n"/>
      <c r="E193" s="620" t="n"/>
    </row>
    <row r="194" hidden="1" ht="15" customFormat="1" customHeight="1" s="39">
      <c r="A194" s="208" t="n"/>
      <c r="B194" s="620" t="n"/>
      <c r="C194" s="620" t="n"/>
      <c r="D194" s="620" t="n"/>
      <c r="E194" s="620" t="n"/>
    </row>
    <row r="195" hidden="1" ht="15" customFormat="1" customHeight="1" s="39">
      <c r="A195" s="208" t="n"/>
      <c r="B195" s="620" t="n"/>
      <c r="C195" s="620" t="n"/>
      <c r="D195" s="620" t="n"/>
      <c r="E195" s="620" t="n"/>
    </row>
    <row r="196" ht="15" customFormat="1" customHeight="1" s="39">
      <c r="A196" s="252" t="inlineStr">
        <is>
          <t xml:space="preserve">12. Tình hình thực hiện nghĩa vụ với NSNN </t>
        </is>
      </c>
      <c r="B196" s="252" t="n"/>
      <c r="C196" s="252" t="n"/>
      <c r="D196" s="620" t="n"/>
      <c r="E196" s="620" t="n"/>
    </row>
    <row r="197" ht="15" customFormat="1" customHeight="1" s="39">
      <c r="A197" s="653" t="inlineStr">
        <is>
          <t>Chỉ tiêu</t>
        </is>
      </c>
      <c r="B197" s="654" t="inlineStr">
        <is>
          <t>Số dư đầu kỳ</t>
        </is>
      </c>
      <c r="C197" s="653" t="inlineStr">
        <is>
          <t>Phát sinh trong kỳ</t>
        </is>
      </c>
      <c r="D197" s="564" t="n"/>
      <c r="E197" s="73" t="inlineStr">
        <is>
          <t>Số dư cuối kỳ</t>
        </is>
      </c>
    </row>
    <row r="198" ht="15" customFormat="1" customHeight="1" s="39">
      <c r="A198" s="545" t="n"/>
      <c r="B198" s="545" t="n"/>
      <c r="C198" s="655" t="inlineStr">
        <is>
          <t>Số phải nộp</t>
        </is>
      </c>
      <c r="D198" s="73" t="inlineStr">
        <is>
          <t>Số đã nộp</t>
        </is>
      </c>
      <c r="E198" s="545" t="n"/>
    </row>
    <row r="199" customFormat="1" s="39">
      <c r="A199" s="74" t="inlineStr">
        <is>
          <t>1. Thuế GTGT</t>
        </is>
      </c>
      <c r="B199" s="656">
        <f>Thue!D12</f>
        <v/>
      </c>
      <c r="C199" s="656">
        <f>Thue!E12</f>
        <v/>
      </c>
      <c r="D199" s="656">
        <f>Thue!F12</f>
        <v/>
      </c>
      <c r="E199" s="656">
        <f>B199+C199-D199</f>
        <v/>
      </c>
      <c r="G199" s="541" t="n"/>
    </row>
    <row r="200" customFormat="1" s="39">
      <c r="A200" s="74" t="n"/>
      <c r="B200" s="656" t="n"/>
      <c r="C200" s="656" t="n"/>
      <c r="D200" s="656" t="n"/>
      <c r="E200" s="656" t="n"/>
    </row>
    <row r="201" customFormat="1" s="39">
      <c r="A201" s="74" t="inlineStr">
        <is>
          <t>2. Thuế tiêu thụ đặc biệt</t>
        </is>
      </c>
      <c r="B201" s="656" t="n">
        <v>0</v>
      </c>
      <c r="C201" s="656" t="n"/>
      <c r="D201" s="656" t="n"/>
      <c r="E201" s="656">
        <f>B201+C201-D201</f>
        <v/>
      </c>
    </row>
    <row r="202" customFormat="1" s="39">
      <c r="A202" s="74" t="inlineStr">
        <is>
          <t>3. Thuế TNDN</t>
        </is>
      </c>
      <c r="B202" s="656">
        <f>Thue!D16</f>
        <v/>
      </c>
      <c r="C202" s="656">
        <f>Thue!E16</f>
        <v/>
      </c>
      <c r="D202" s="656">
        <f>Thue!F16</f>
        <v/>
      </c>
      <c r="E202" s="656">
        <f>B202+C202-D202</f>
        <v/>
      </c>
    </row>
    <row r="203" customFormat="1" s="39">
      <c r="A203" s="74" t="inlineStr">
        <is>
          <t>4. Thuế xuất, nhập khẩu</t>
        </is>
      </c>
      <c r="B203" s="656" t="n">
        <v>0</v>
      </c>
      <c r="C203" s="656" t="n"/>
      <c r="D203" s="656" t="n"/>
      <c r="E203" s="656">
        <f>B203+C203-D203</f>
        <v/>
      </c>
    </row>
    <row r="204" customFormat="1" s="39">
      <c r="A204" s="74" t="inlineStr">
        <is>
          <t>5. Thuế sử dụng vốn NSNN</t>
        </is>
      </c>
      <c r="B204" s="656" t="n">
        <v>0</v>
      </c>
      <c r="C204" s="656" t="n"/>
      <c r="D204" s="656" t="n"/>
      <c r="E204" s="656">
        <f>B204+C204-D204</f>
        <v/>
      </c>
    </row>
    <row r="205" customFormat="1" s="39">
      <c r="A205" s="74" t="inlineStr">
        <is>
          <t>6. Thuế tài nguyên</t>
        </is>
      </c>
      <c r="B205" s="656" t="n">
        <v>0</v>
      </c>
      <c r="C205" s="656" t="n"/>
      <c r="D205" s="656" t="n"/>
      <c r="E205" s="656">
        <f>B205+C205-D205</f>
        <v/>
      </c>
    </row>
    <row r="206" customFormat="1" s="39">
      <c r="A206" s="74" t="inlineStr">
        <is>
          <t>7. Thuế nhà đất</t>
        </is>
      </c>
      <c r="B206" s="656" t="n">
        <v>0</v>
      </c>
      <c r="C206" s="656" t="n"/>
      <c r="D206" s="656" t="n"/>
      <c r="E206" s="656">
        <f>B206+C206-D206</f>
        <v/>
      </c>
    </row>
    <row r="207" customFormat="1" s="39">
      <c r="A207" s="74" t="inlineStr">
        <is>
          <t>8. Tiền thuê đất</t>
        </is>
      </c>
      <c r="B207" s="656" t="n">
        <v>0</v>
      </c>
      <c r="C207" s="656" t="n"/>
      <c r="D207" s="656" t="n"/>
      <c r="E207" s="656">
        <f>B207+C207-D207</f>
        <v/>
      </c>
    </row>
    <row r="208" customFormat="1" s="39">
      <c r="A208" s="74" t="inlineStr">
        <is>
          <t>9. Các loại thuế khác ( Thuế TNCN)</t>
        </is>
      </c>
      <c r="B208" s="656">
        <f>Thue!D17</f>
        <v/>
      </c>
      <c r="C208" s="656">
        <f>Thue!E17+Thue!E21</f>
        <v/>
      </c>
      <c r="D208" s="656">
        <f>Thue!F17+Thue!F21</f>
        <v/>
      </c>
      <c r="E208" s="656">
        <f>B208+C208-D208</f>
        <v/>
      </c>
    </row>
    <row r="209" ht="24.75" customFormat="1" customHeight="1" s="39">
      <c r="A209" s="74" t="inlineStr">
        <is>
          <t>10. Các loại phí. lệ phí và các khoản phải nộp khác</t>
        </is>
      </c>
      <c r="B209" s="656" t="n">
        <v>0</v>
      </c>
      <c r="C209" s="657" t="n"/>
      <c r="D209" s="657" t="n"/>
      <c r="E209" s="656">
        <f>B209+C209-D209</f>
        <v/>
      </c>
    </row>
    <row r="210" customFormat="1" s="39">
      <c r="A210" s="75" t="inlineStr">
        <is>
          <t>Tổng cộng</t>
        </is>
      </c>
      <c r="B210" s="658">
        <f>SUM(B199:B209)</f>
        <v/>
      </c>
      <c r="C210" s="658">
        <f>SUM(C199:C209)</f>
        <v/>
      </c>
      <c r="D210" s="658">
        <f>SUM(D199:D209)</f>
        <v/>
      </c>
      <c r="E210" s="658">
        <f>B210+C210-D210</f>
        <v/>
      </c>
      <c r="G210" s="541" t="n"/>
    </row>
    <row r="211">
      <c r="A211" s="252" t="inlineStr">
        <is>
          <t>13. Các hoạt động ngoại bảng khác mà TCTD phải chịu rủi ro đáng kể</t>
        </is>
      </c>
      <c r="B211" s="252" t="n"/>
      <c r="C211" s="252" t="n"/>
    </row>
    <row r="212">
      <c r="A212" s="172" t="inlineStr">
        <is>
          <t>13a. Lãi cho vay và phí phải thu chưa thu được</t>
        </is>
      </c>
    </row>
    <row r="213" ht="30" customHeight="1" s="373">
      <c r="A213" s="74" t="n"/>
      <c r="B213" s="74" t="inlineStr">
        <is>
          <t>Số cuối kỳ</t>
        </is>
      </c>
      <c r="C213" s="74" t="inlineStr">
        <is>
          <t>Số đầu kỳ (số đầu năm)</t>
        </is>
      </c>
      <c r="F213" s="262" t="inlineStr">
        <is>
          <t>Số cuối kỳ</t>
        </is>
      </c>
      <c r="G213" s="262" t="inlineStr">
        <is>
          <t>Số đầu kỳ (số đầu năm)</t>
        </is>
      </c>
    </row>
    <row r="214" ht="31.5" customHeight="1" s="373">
      <c r="A214" s="74" t="inlineStr">
        <is>
          <t>Lãi cho vay chưa thu được</t>
        </is>
      </c>
      <c r="B214" s="659" t="n">
        <v>0</v>
      </c>
      <c r="C214" s="659" t="n">
        <v>0</v>
      </c>
      <c r="F214" s="263" t="inlineStr">
        <is>
          <t>DN TK 941, 942</t>
        </is>
      </c>
      <c r="G214" s="263" t="inlineStr">
        <is>
          <t>DN TK 941, 942</t>
        </is>
      </c>
    </row>
    <row r="215">
      <c r="A215" s="74" t="inlineStr">
        <is>
          <t>Lãi chứng khoán chưa thu được</t>
        </is>
      </c>
      <c r="B215" s="659" t="n">
        <v>0</v>
      </c>
      <c r="C215" s="659" t="n">
        <v>0</v>
      </c>
      <c r="F215" s="263" t="inlineStr">
        <is>
          <t>DN TK 944</t>
        </is>
      </c>
      <c r="G215" s="263" t="inlineStr">
        <is>
          <t>DN TK 944</t>
        </is>
      </c>
    </row>
    <row r="216">
      <c r="A216" s="74" t="inlineStr">
        <is>
          <t>Lãi tiền gửi chưa thu được</t>
        </is>
      </c>
      <c r="B216" s="659" t="n">
        <v>0</v>
      </c>
      <c r="C216" s="659" t="n">
        <v>0</v>
      </c>
      <c r="F216" s="263" t="inlineStr">
        <is>
          <t>DN TK 945</t>
        </is>
      </c>
      <c r="G216" s="263" t="inlineStr">
        <is>
          <t>DN TK 945</t>
        </is>
      </c>
    </row>
    <row r="217">
      <c r="A217" s="74" t="inlineStr">
        <is>
          <t>Phí phải thu chưa thu được</t>
        </is>
      </c>
      <c r="B217" s="659" t="n">
        <v>0</v>
      </c>
      <c r="C217" s="659" t="n">
        <v>0</v>
      </c>
      <c r="F217" s="263" t="inlineStr">
        <is>
          <t>DN TK 949</t>
        </is>
      </c>
      <c r="G217" s="263" t="inlineStr">
        <is>
          <t>DN TK 949</t>
        </is>
      </c>
    </row>
    <row r="218">
      <c r="A218" s="74" t="inlineStr">
        <is>
          <t xml:space="preserve"> Tổng</t>
        </is>
      </c>
      <c r="B218" s="74" t="n"/>
      <c r="C218" s="74" t="n"/>
      <c r="F218" s="264" t="n"/>
      <c r="G218" s="264" t="n"/>
    </row>
    <row r="219">
      <c r="A219" s="172" t="inlineStr">
        <is>
          <t>13b. Nợ khó đòi đã xử lý</t>
        </is>
      </c>
      <c r="F219" s="265" t="n"/>
      <c r="G219" s="265" t="n"/>
    </row>
    <row r="220" ht="30" customHeight="1" s="373">
      <c r="A220" s="74" t="n"/>
      <c r="B220" s="74" t="inlineStr">
        <is>
          <t>Số cuối kỳ</t>
        </is>
      </c>
      <c r="C220" s="74" t="inlineStr">
        <is>
          <t>Số đầu kỳ (số đầu năm)</t>
        </is>
      </c>
      <c r="F220" s="262" t="inlineStr">
        <is>
          <t>Số cuối kỳ</t>
        </is>
      </c>
      <c r="G220" s="262" t="inlineStr">
        <is>
          <t>Số đầu kỳ (số đầu năm)</t>
        </is>
      </c>
    </row>
    <row r="221" ht="30" customHeight="1" s="373">
      <c r="A221" s="74" t="inlineStr">
        <is>
          <t>Nợ gốc của khoản nợ đã xử lý rủi ro đang trong thời gian theo dõi</t>
        </is>
      </c>
      <c r="B221" s="659" t="n">
        <v>0</v>
      </c>
      <c r="C221" s="659" t="n">
        <v>0</v>
      </c>
      <c r="F221" s="263" t="inlineStr">
        <is>
          <t>DN TK 9711</t>
        </is>
      </c>
      <c r="G221" s="263" t="inlineStr">
        <is>
          <t>DN TK 9711</t>
        </is>
      </c>
    </row>
    <row r="222" ht="30" customHeight="1" s="373">
      <c r="A222" s="74" t="inlineStr">
        <is>
          <t>Nợ lãi của khoản nợ đã xử lý rủi ro đang trong thời gian theo dõi</t>
        </is>
      </c>
      <c r="B222" s="659" t="n">
        <v>0</v>
      </c>
      <c r="C222" s="659" t="n">
        <v>0</v>
      </c>
      <c r="F222" s="263" t="inlineStr">
        <is>
          <t>DN TK 9712</t>
        </is>
      </c>
      <c r="G222" s="263" t="inlineStr">
        <is>
          <t>DN TK 9712</t>
        </is>
      </c>
    </row>
    <row r="223">
      <c r="A223" s="74" t="inlineStr">
        <is>
          <t>Các khoản nợ khác đã xử lý</t>
        </is>
      </c>
      <c r="B223" s="659" t="n">
        <v>0</v>
      </c>
      <c r="C223" s="659" t="n">
        <v>0</v>
      </c>
      <c r="F223" s="266" t="n"/>
      <c r="G223" s="266" t="n"/>
    </row>
    <row r="224">
      <c r="A224" s="74" t="inlineStr">
        <is>
          <t xml:space="preserve"> Tổng</t>
        </is>
      </c>
      <c r="B224" s="659" t="n">
        <v>0</v>
      </c>
      <c r="C224" s="659" t="n">
        <v>0</v>
      </c>
      <c r="F224" s="266" t="n"/>
      <c r="G224" s="266" t="n"/>
    </row>
    <row r="225">
      <c r="A225" s="172" t="inlineStr">
        <is>
          <t>13c. Tài sản và chứng từ khác</t>
        </is>
      </c>
      <c r="F225" s="265" t="n"/>
      <c r="G225" s="265" t="n"/>
    </row>
    <row r="226" ht="30" customHeight="1" s="373">
      <c r="A226" s="74" t="n"/>
      <c r="B226" s="74" t="inlineStr">
        <is>
          <t>Số cuối kỳ</t>
        </is>
      </c>
      <c r="C226" s="74" t="inlineStr">
        <is>
          <t>Số đầu kỳ (số đầu năm)</t>
        </is>
      </c>
      <c r="F226" s="262" t="inlineStr">
        <is>
          <t>Số cuối kỳ</t>
        </is>
      </c>
      <c r="G226" s="262" t="inlineStr">
        <is>
          <t>Số đầu kỳ (số đầu năm)</t>
        </is>
      </c>
    </row>
    <row r="227">
      <c r="A227" s="74" t="inlineStr">
        <is>
          <t>Kim loại quý, đá quý giữ hộ</t>
        </is>
      </c>
      <c r="B227" s="659" t="n">
        <v>0</v>
      </c>
      <c r="C227" s="659" t="n">
        <v>0</v>
      </c>
      <c r="F227" s="263" t="inlineStr">
        <is>
          <t>DN TK 991</t>
        </is>
      </c>
      <c r="G227" s="263" t="inlineStr">
        <is>
          <t>DN TK 991</t>
        </is>
      </c>
    </row>
    <row r="228">
      <c r="A228" s="74" t="inlineStr">
        <is>
          <t>Tài sản khác giữ hộ</t>
        </is>
      </c>
      <c r="B228" s="659" t="n">
        <v>0</v>
      </c>
      <c r="C228" s="659" t="n">
        <v>0</v>
      </c>
      <c r="F228" s="263" t="inlineStr">
        <is>
          <t>DN TK 992</t>
        </is>
      </c>
      <c r="G228" s="263" t="inlineStr">
        <is>
          <t>DN TK 992</t>
        </is>
      </c>
    </row>
    <row r="229">
      <c r="A229" s="74" t="inlineStr">
        <is>
          <t>Tài sản thuê ngoài</t>
        </is>
      </c>
      <c r="B229" s="659" t="n">
        <v>0</v>
      </c>
      <c r="C229" s="659" t="n">
        <v>0</v>
      </c>
      <c r="F229" s="263" t="inlineStr">
        <is>
          <t>DN TK 993</t>
        </is>
      </c>
      <c r="G229" s="263" t="inlineStr">
        <is>
          <t>DN TK 993</t>
        </is>
      </c>
    </row>
    <row r="230" ht="30" customHeight="1" s="373">
      <c r="A230" s="74" t="inlineStr">
        <is>
          <t>Tài sản bảo đảm nhận thay thế cho việc thực hiện nghĩa vụ của bên bảo đảm chờ xử lý</t>
        </is>
      </c>
      <c r="B230" s="659" t="n">
        <v>0</v>
      </c>
      <c r="C230" s="659" t="n">
        <v>0</v>
      </c>
      <c r="F230" s="263" t="inlineStr">
        <is>
          <t>DN TK 995</t>
        </is>
      </c>
      <c r="G230" s="263" t="inlineStr">
        <is>
          <t>DN TK 995</t>
        </is>
      </c>
    </row>
    <row r="231">
      <c r="A231" s="74" t="inlineStr">
        <is>
          <t>Các chứng từ có giá trị khác đang bảo quản</t>
        </is>
      </c>
      <c r="B231" s="659" t="n">
        <v>0</v>
      </c>
      <c r="C231" s="659" t="n">
        <v>0</v>
      </c>
      <c r="F231" s="263" t="inlineStr">
        <is>
          <t>DN TK 999</t>
        </is>
      </c>
      <c r="G231" s="263" t="inlineStr">
        <is>
          <t>DN TK 999</t>
        </is>
      </c>
    </row>
    <row r="232">
      <c r="A232" s="74" t="inlineStr">
        <is>
          <t xml:space="preserve"> Tổng </t>
        </is>
      </c>
      <c r="B232" s="74" t="n"/>
      <c r="C232" s="74" t="n"/>
      <c r="F232" s="266" t="n"/>
      <c r="G232" s="266" t="n"/>
    </row>
    <row r="234" ht="14.25" customFormat="1" customHeight="1" s="209">
      <c r="A234" s="209" t="inlineStr">
        <is>
          <t>Lập bảng</t>
        </is>
      </c>
      <c r="B234" s="209" t="inlineStr">
        <is>
          <t>Kiểm soát</t>
        </is>
      </c>
      <c r="D234" s="209" t="inlineStr">
        <is>
          <t>Tổng giám đốc</t>
        </is>
      </c>
    </row>
  </sheetData>
  <mergeCells count="49">
    <mergeCell ref="A32:G32"/>
    <mergeCell ref="A197:A198"/>
    <mergeCell ref="A108:C108"/>
    <mergeCell ref="A15:E15"/>
    <mergeCell ref="A49:E49"/>
    <mergeCell ref="A36:E36"/>
    <mergeCell ref="A19:G19"/>
    <mergeCell ref="C197:D197"/>
    <mergeCell ref="A172:E172"/>
    <mergeCell ref="A16:E16"/>
    <mergeCell ref="A7:E7"/>
    <mergeCell ref="A131:C131"/>
    <mergeCell ref="A37:E37"/>
    <mergeCell ref="A51:G51"/>
    <mergeCell ref="A18:E18"/>
    <mergeCell ref="A125:C125"/>
    <mergeCell ref="A21:E21"/>
    <mergeCell ref="E197:E198"/>
    <mergeCell ref="A2:B2"/>
    <mergeCell ref="A33:E33"/>
    <mergeCell ref="A47:E47"/>
    <mergeCell ref="A5:E5"/>
    <mergeCell ref="A23:E23"/>
    <mergeCell ref="A8:E8"/>
    <mergeCell ref="A30:F30"/>
    <mergeCell ref="A39:F39"/>
    <mergeCell ref="A22:E22"/>
    <mergeCell ref="A17:E17"/>
    <mergeCell ref="A182:C182"/>
    <mergeCell ref="A24:F24"/>
    <mergeCell ref="B197:B198"/>
    <mergeCell ref="A20:B20"/>
    <mergeCell ref="A35:E35"/>
    <mergeCell ref="A29:E29"/>
    <mergeCell ref="A138:C138"/>
    <mergeCell ref="A43:E43"/>
    <mergeCell ref="A38:E38"/>
    <mergeCell ref="A4:E4"/>
    <mergeCell ref="A52:E52"/>
    <mergeCell ref="A10:E10"/>
    <mergeCell ref="A1:F1"/>
    <mergeCell ref="A26:G26"/>
    <mergeCell ref="A13:B13"/>
    <mergeCell ref="A124:C124"/>
    <mergeCell ref="A31:E31"/>
    <mergeCell ref="A44:E44"/>
    <mergeCell ref="A40:E40"/>
    <mergeCell ref="A9:E9"/>
    <mergeCell ref="A42:G42"/>
  </mergeCells>
  <pageMargins left="0.27" right="0.196850393700787" top="0.511811023622047" bottom="0.511811023622047" header="0.31496062992126" footer="0.31496062992126"/>
  <pageSetup orientation="landscape" scale="95"/>
  <legacyDrawing xmlns:r="http://schemas.openxmlformats.org/officeDocument/2006/relationships" r:id="anysvml"/>
</worksheet>
</file>

<file path=xl/worksheets/sheet6.xml><?xml version="1.0" encoding="utf-8"?>
<worksheet xmlns="http://schemas.openxmlformats.org/spreadsheetml/2006/main">
  <sheetPr codeName="Sheet5">
    <outlinePr summaryBelow="1" summaryRight="1"/>
    <pageSetUpPr/>
  </sheetPr>
  <dimension ref="A1:N33"/>
  <sheetViews>
    <sheetView workbookViewId="0">
      <selection activeCell="E18" sqref="E18"/>
    </sheetView>
  </sheetViews>
  <sheetFormatPr baseColWidth="8" defaultColWidth="8.7109375" defaultRowHeight="15"/>
  <cols>
    <col width="34.85546875" customWidth="1" style="385" min="1" max="1"/>
    <col width="5.5703125" customWidth="1" style="385" min="2" max="2"/>
    <col width="2.5703125" customWidth="1" style="385" min="3" max="3"/>
    <col width="16.7109375" customWidth="1" style="385" min="4" max="4"/>
    <col width="15.140625" customWidth="1" style="385" min="5" max="6"/>
    <col width="4.42578125" customWidth="1" style="385" min="7" max="7"/>
    <col width="2.5703125" customWidth="1" style="385" min="8" max="8"/>
    <col width="3.140625" customWidth="1" style="385" min="9" max="9"/>
    <col width="0.42578125" customWidth="1" style="385" min="10" max="10"/>
    <col width="4.5703125" customWidth="1" style="385" min="11" max="11"/>
    <col width="15.140625" customWidth="1" style="385" min="12" max="12"/>
    <col width="17.140625" customWidth="1" style="385" min="13" max="13"/>
    <col width="12.5703125" customWidth="1" style="385" min="14" max="14"/>
    <col width="8.7109375" customWidth="1" style="385" min="15" max="16384"/>
  </cols>
  <sheetData>
    <row r="1" ht="14.85" customHeight="1" s="373">
      <c r="A1" s="505" t="inlineStr">
        <is>
          <t>Ten cong ty - CTY me</t>
        </is>
      </c>
    </row>
    <row r="2" ht="14.1" customHeight="1" s="373">
      <c r="A2" s="505" t="inlineStr">
        <is>
          <t>Dia chi</t>
        </is>
      </c>
    </row>
    <row r="3" ht="3" customHeight="1" s="373"/>
    <row r="4" ht="23.65" customHeight="1" s="373">
      <c r="A4" s="506" t="inlineStr">
        <is>
          <t>TÌNH HÌNH THỰC HIỆN NGHĨA VỤ ĐỐI VỚI NHÀ NƯỚC</t>
        </is>
      </c>
    </row>
    <row r="5" ht="20.1" customHeight="1" s="373">
      <c r="A5" s="507" t="inlineStr">
        <is>
          <t>Quý 1 năm 2026</t>
        </is>
      </c>
    </row>
    <row r="6" ht="17.85" customHeight="1" s="373">
      <c r="M6" s="386" t="inlineStr">
        <is>
          <t>Đơn vị tính: VND</t>
        </is>
      </c>
    </row>
    <row r="7" ht="3" customHeight="1" s="373">
      <c r="A7" s="387" t="n"/>
      <c r="B7" s="387" t="n"/>
      <c r="C7" s="387" t="n"/>
      <c r="D7" s="387" t="n"/>
      <c r="E7" s="387" t="n"/>
      <c r="F7" s="387" t="n"/>
      <c r="G7" s="387" t="n"/>
      <c r="H7" s="387" t="n"/>
      <c r="I7" s="387" t="n"/>
      <c r="J7" s="387" t="n"/>
      <c r="K7" s="387" t="n"/>
      <c r="L7" s="387" t="n"/>
      <c r="M7" s="387" t="n"/>
    </row>
    <row r="8" ht="17.85" customHeight="1" s="373">
      <c r="A8" s="500" t="inlineStr">
        <is>
          <t>Chỉ tiêu</t>
        </is>
      </c>
      <c r="B8" s="500" t="inlineStr">
        <is>
          <t>Mã số</t>
        </is>
      </c>
      <c r="C8" s="660" t="n"/>
      <c r="D8" s="500" t="inlineStr">
        <is>
          <t>Số còn phải nộp kỳ trước chuyển sang</t>
        </is>
      </c>
      <c r="E8" s="500" t="inlineStr">
        <is>
          <t>Số phát sinh trong kỳ</t>
        </is>
      </c>
      <c r="F8" s="661" t="n"/>
      <c r="G8" s="500" t="inlineStr">
        <is>
          <t>Số phát sinh lũy kế</t>
        </is>
      </c>
      <c r="H8" s="662" t="n"/>
      <c r="I8" s="662" t="n"/>
      <c r="J8" s="662" t="n"/>
      <c r="K8" s="662" t="n"/>
      <c r="L8" s="661" t="n"/>
      <c r="M8" s="500" t="inlineStr">
        <is>
          <t>Số còn phải nộp cuối kỳ</t>
        </is>
      </c>
      <c r="N8" s="388" t="n"/>
    </row>
    <row r="9" ht="17.1" customHeight="1" s="373">
      <c r="A9" s="663" t="n"/>
      <c r="B9" s="664" t="n"/>
      <c r="C9" s="665" t="n"/>
      <c r="D9" s="663" t="n"/>
      <c r="E9" s="500" t="inlineStr">
        <is>
          <t>Số phải nộp</t>
        </is>
      </c>
      <c r="F9" s="500" t="inlineStr">
        <is>
          <t>Số đã nộp</t>
        </is>
      </c>
      <c r="G9" s="500" t="inlineStr">
        <is>
          <t>Số phải nộp</t>
        </is>
      </c>
      <c r="H9" s="662" t="n"/>
      <c r="I9" s="662" t="n"/>
      <c r="J9" s="662" t="n"/>
      <c r="K9" s="661" t="n"/>
      <c r="L9" s="500" t="inlineStr">
        <is>
          <t>Số đã nộp</t>
        </is>
      </c>
      <c r="M9" s="663" t="n"/>
      <c r="N9" s="388" t="n"/>
    </row>
    <row r="10" ht="17.85" customHeight="1" s="373">
      <c r="A10" s="513" t="inlineStr">
        <is>
          <t>A</t>
        </is>
      </c>
      <c r="B10" s="513" t="inlineStr">
        <is>
          <t>B</t>
        </is>
      </c>
      <c r="C10" s="661" t="n"/>
      <c r="D10" s="513" t="inlineStr">
        <is>
          <t>1</t>
        </is>
      </c>
      <c r="E10" s="513" t="inlineStr">
        <is>
          <t>2</t>
        </is>
      </c>
      <c r="F10" s="513" t="inlineStr">
        <is>
          <t>3</t>
        </is>
      </c>
      <c r="G10" s="513" t="inlineStr">
        <is>
          <t>4</t>
        </is>
      </c>
      <c r="H10" s="662" t="n"/>
      <c r="I10" s="662" t="n"/>
      <c r="J10" s="662" t="n"/>
      <c r="K10" s="661" t="n"/>
      <c r="L10" s="513" t="inlineStr">
        <is>
          <t>5</t>
        </is>
      </c>
      <c r="M10" s="513" t="inlineStr">
        <is>
          <t>6</t>
        </is>
      </c>
      <c r="N10" s="388" t="n"/>
    </row>
    <row r="11" ht="17.1" customHeight="1" s="373">
      <c r="A11" s="391" t="inlineStr">
        <is>
          <t>I – Thuế</t>
        </is>
      </c>
      <c r="B11" s="500" t="inlineStr">
        <is>
          <t>10</t>
        </is>
      </c>
      <c r="C11" s="661" t="n"/>
      <c r="D11" s="666" t="n">
        <v>2104207557</v>
      </c>
      <c r="E11" s="666" t="n">
        <v>2247355787</v>
      </c>
      <c r="F11" s="666" t="n">
        <v>3229324778</v>
      </c>
      <c r="G11" s="666" t="n">
        <v>2247355787</v>
      </c>
      <c r="H11" s="662" t="n"/>
      <c r="I11" s="662" t="n"/>
      <c r="J11" s="662" t="n"/>
      <c r="K11" s="661" t="n"/>
      <c r="L11" s="666" t="n">
        <v>3229324778</v>
      </c>
      <c r="M11" s="666" t="n">
        <v>1122238566</v>
      </c>
      <c r="N11" s="388" t="n"/>
    </row>
    <row r="12" ht="17.85" customHeight="1" s="373">
      <c r="A12" s="393" t="inlineStr">
        <is>
          <t>1. Thuế GTGT hàng bán nội địa</t>
        </is>
      </c>
      <c r="B12" s="495" t="inlineStr">
        <is>
          <t>11</t>
        </is>
      </c>
      <c r="C12" s="661" t="n"/>
      <c r="D12" s="667" t="n">
        <v>327740170</v>
      </c>
      <c r="E12" s="667" t="n">
        <v>929981117</v>
      </c>
      <c r="F12" s="667" t="n">
        <v>924519785</v>
      </c>
      <c r="G12" s="667" t="n">
        <v>929981117</v>
      </c>
      <c r="H12" s="662" t="n"/>
      <c r="I12" s="662" t="n"/>
      <c r="J12" s="662" t="n"/>
      <c r="K12" s="661" t="n"/>
      <c r="L12" s="667" t="n">
        <v>924519785</v>
      </c>
      <c r="M12" s="667" t="n">
        <v>333201502</v>
      </c>
      <c r="N12" s="388" t="n"/>
    </row>
    <row r="13" ht="17.85" customHeight="1" s="373">
      <c r="A13" s="393" t="inlineStr">
        <is>
          <t>2. Thuế GTGT hàng nhập khẩu</t>
        </is>
      </c>
      <c r="B13" s="495" t="inlineStr">
        <is>
          <t>12</t>
        </is>
      </c>
      <c r="C13" s="661" t="n"/>
      <c r="D13" s="667" t="n">
        <v>0</v>
      </c>
      <c r="E13" s="667" t="n">
        <v>0</v>
      </c>
      <c r="F13" s="667" t="n">
        <v>0</v>
      </c>
      <c r="G13" s="667" t="n">
        <v>0</v>
      </c>
      <c r="H13" s="662" t="n"/>
      <c r="I13" s="662" t="n"/>
      <c r="J13" s="662" t="n"/>
      <c r="K13" s="661" t="n"/>
      <c r="L13" s="667" t="n">
        <v>0</v>
      </c>
      <c r="M13" s="667" t="n">
        <v>0</v>
      </c>
      <c r="N13" s="388" t="n"/>
    </row>
    <row r="14" ht="17.1" customHeight="1" s="373">
      <c r="A14" s="393" t="inlineStr">
        <is>
          <t>3. Thuế tiêu thụ đặc biệt</t>
        </is>
      </c>
      <c r="B14" s="495" t="inlineStr">
        <is>
          <t>13</t>
        </is>
      </c>
      <c r="C14" s="661" t="n"/>
      <c r="D14" s="667" t="n">
        <v>0</v>
      </c>
      <c r="E14" s="667" t="n">
        <v>0</v>
      </c>
      <c r="F14" s="667" t="n">
        <v>0</v>
      </c>
      <c r="G14" s="667" t="n">
        <v>0</v>
      </c>
      <c r="H14" s="662" t="n"/>
      <c r="I14" s="662" t="n"/>
      <c r="J14" s="662" t="n"/>
      <c r="K14" s="661" t="n"/>
      <c r="L14" s="667" t="n">
        <v>0</v>
      </c>
      <c r="M14" s="667" t="n">
        <v>0</v>
      </c>
      <c r="N14" s="388" t="n"/>
    </row>
    <row r="15" ht="17.85" customHeight="1" s="373">
      <c r="A15" s="393" t="inlineStr">
        <is>
          <t>4. Thuế xuất, nhập khẩu, chống bán phá giá</t>
        </is>
      </c>
      <c r="B15" s="495" t="inlineStr">
        <is>
          <t>14</t>
        </is>
      </c>
      <c r="C15" s="661" t="n"/>
      <c r="D15" s="667" t="n">
        <v>0</v>
      </c>
      <c r="E15" s="667" t="n">
        <v>0</v>
      </c>
      <c r="F15" s="667" t="n">
        <v>0</v>
      </c>
      <c r="G15" s="667" t="n">
        <v>0</v>
      </c>
      <c r="H15" s="662" t="n"/>
      <c r="I15" s="662" t="n"/>
      <c r="J15" s="662" t="n"/>
      <c r="K15" s="661" t="n"/>
      <c r="L15" s="667" t="n">
        <v>0</v>
      </c>
      <c r="M15" s="667" t="n">
        <v>0</v>
      </c>
      <c r="N15" s="388" t="n"/>
    </row>
    <row r="16" ht="17.85" customHeight="1" s="373">
      <c r="A16" s="393" t="inlineStr">
        <is>
          <t>5. Thuế thu nhập doanh nghiệp</t>
        </is>
      </c>
      <c r="B16" s="495" t="inlineStr">
        <is>
          <t>15</t>
        </is>
      </c>
      <c r="C16" s="661" t="n"/>
      <c r="D16" s="667" t="n">
        <v>1699375943</v>
      </c>
      <c r="E16" s="667" t="n">
        <v>778687531</v>
      </c>
      <c r="F16" s="667" t="n">
        <v>1699375943</v>
      </c>
      <c r="G16" s="667" t="n">
        <v>778687531</v>
      </c>
      <c r="H16" s="662" t="n"/>
      <c r="I16" s="662" t="n"/>
      <c r="J16" s="662" t="n"/>
      <c r="K16" s="661" t="n"/>
      <c r="L16" s="667" t="n">
        <v>1699375943</v>
      </c>
      <c r="M16" s="667" t="n">
        <v>778687531</v>
      </c>
      <c r="N16" s="388" t="n"/>
    </row>
    <row r="17" ht="17.1" customHeight="1" s="373">
      <c r="A17" s="393" t="inlineStr">
        <is>
          <t>6. Thuế thu nhập cá nhân</t>
        </is>
      </c>
      <c r="B17" s="495" t="inlineStr">
        <is>
          <t>16</t>
        </is>
      </c>
      <c r="C17" s="661" t="n"/>
      <c r="D17" s="667" t="n">
        <v>77091444</v>
      </c>
      <c r="E17" s="667" t="n">
        <v>536486035</v>
      </c>
      <c r="F17" s="667" t="n">
        <v>603227946</v>
      </c>
      <c r="G17" s="667" t="n">
        <v>536486035</v>
      </c>
      <c r="H17" s="662" t="n"/>
      <c r="I17" s="662" t="n"/>
      <c r="J17" s="662" t="n"/>
      <c r="K17" s="661" t="n"/>
      <c r="L17" s="667" t="n">
        <v>603227946</v>
      </c>
      <c r="M17" s="667" t="n">
        <v>10349533</v>
      </c>
      <c r="N17" s="388" t="n"/>
    </row>
    <row r="18" ht="17.85" customHeight="1" s="373">
      <c r="A18" s="393" t="inlineStr">
        <is>
          <t>7. Thuế tài nguyên</t>
        </is>
      </c>
      <c r="B18" s="495" t="inlineStr">
        <is>
          <t>17</t>
        </is>
      </c>
      <c r="C18" s="661" t="n"/>
      <c r="D18" s="667" t="n">
        <v>0</v>
      </c>
      <c r="E18" s="667" t="n">
        <v>0</v>
      </c>
      <c r="F18" s="667" t="n">
        <v>0</v>
      </c>
      <c r="G18" s="667" t="n">
        <v>0</v>
      </c>
      <c r="H18" s="662" t="n"/>
      <c r="I18" s="662" t="n"/>
      <c r="J18" s="662" t="n"/>
      <c r="K18" s="661" t="n"/>
      <c r="L18" s="667" t="n">
        <v>0</v>
      </c>
      <c r="M18" s="667" t="n">
        <v>0</v>
      </c>
      <c r="N18" s="388" t="n"/>
    </row>
    <row r="19" ht="17.1" customHeight="1" s="373">
      <c r="A19" s="393" t="inlineStr">
        <is>
          <t>8. Thuế nhà đất, tiền thuê đất</t>
        </is>
      </c>
      <c r="B19" s="495" t="inlineStr">
        <is>
          <t>18</t>
        </is>
      </c>
      <c r="C19" s="661" t="n"/>
      <c r="D19" s="667" t="n">
        <v>0</v>
      </c>
      <c r="E19" s="667" t="n">
        <v>0</v>
      </c>
      <c r="F19" s="667" t="n">
        <v>0</v>
      </c>
      <c r="G19" s="667" t="n">
        <v>0</v>
      </c>
      <c r="H19" s="662" t="n"/>
      <c r="I19" s="662" t="n"/>
      <c r="J19" s="662" t="n"/>
      <c r="K19" s="661" t="n"/>
      <c r="L19" s="667" t="n">
        <v>0</v>
      </c>
      <c r="M19" s="667" t="n">
        <v>0</v>
      </c>
      <c r="N19" s="388" t="n"/>
    </row>
    <row r="20" ht="17.85" customHeight="1" s="373">
      <c r="A20" s="393" t="inlineStr">
        <is>
          <t>9. Thuế bảo vệ môi trường</t>
        </is>
      </c>
      <c r="B20" s="495" t="inlineStr">
        <is>
          <t>19</t>
        </is>
      </c>
      <c r="C20" s="661" t="n"/>
      <c r="D20" s="667" t="n">
        <v>0</v>
      </c>
      <c r="E20" s="667" t="n">
        <v>0</v>
      </c>
      <c r="F20" s="667" t="n">
        <v>0</v>
      </c>
      <c r="G20" s="667" t="n">
        <v>0</v>
      </c>
      <c r="H20" s="662" t="n"/>
      <c r="I20" s="662" t="n"/>
      <c r="J20" s="662" t="n"/>
      <c r="K20" s="661" t="n"/>
      <c r="L20" s="667" t="n">
        <v>0</v>
      </c>
      <c r="M20" s="667" t="n">
        <v>0</v>
      </c>
      <c r="N20" s="388" t="n"/>
    </row>
    <row r="21" ht="17.85" customHeight="1" s="373">
      <c r="A21" s="393" t="inlineStr">
        <is>
          <t>10. Các loại thuế khác</t>
        </is>
      </c>
      <c r="B21" s="495" t="inlineStr">
        <is>
          <t>20</t>
        </is>
      </c>
      <c r="C21" s="661" t="n"/>
      <c r="D21" s="667" t="n">
        <v>0</v>
      </c>
      <c r="E21" s="667" t="n">
        <v>2201104</v>
      </c>
      <c r="F21" s="667" t="n">
        <v>2201104</v>
      </c>
      <c r="G21" s="667" t="n">
        <v>2201104</v>
      </c>
      <c r="H21" s="662" t="n"/>
      <c r="I21" s="662" t="n"/>
      <c r="J21" s="662" t="n"/>
      <c r="K21" s="661" t="n"/>
      <c r="L21" s="667" t="n">
        <v>2201104</v>
      </c>
      <c r="M21" s="667" t="n">
        <v>0</v>
      </c>
      <c r="N21" s="388" t="n"/>
    </row>
    <row r="22" ht="17.1" customHeight="1" s="373">
      <c r="A22" s="391" t="inlineStr">
        <is>
          <t>II – Các khoản phải nộp khác</t>
        </is>
      </c>
      <c r="B22" s="500" t="inlineStr">
        <is>
          <t>30</t>
        </is>
      </c>
      <c r="C22" s="661" t="n"/>
      <c r="D22" s="666" t="n">
        <v>0</v>
      </c>
      <c r="E22" s="666" t="n">
        <v>0</v>
      </c>
      <c r="F22" s="666" t="n">
        <v>0</v>
      </c>
      <c r="G22" s="666" t="n">
        <v>0</v>
      </c>
      <c r="H22" s="662" t="n"/>
      <c r="I22" s="662" t="n"/>
      <c r="J22" s="662" t="n"/>
      <c r="K22" s="661" t="n"/>
      <c r="L22" s="666" t="n">
        <v>0</v>
      </c>
      <c r="M22" s="666" t="n">
        <v>0</v>
      </c>
      <c r="N22" s="388" t="n"/>
    </row>
    <row r="23" ht="17.85" customHeight="1" s="373">
      <c r="A23" s="393" t="inlineStr">
        <is>
          <t>1. Các khoản phụ thu</t>
        </is>
      </c>
      <c r="B23" s="495" t="inlineStr">
        <is>
          <t>31</t>
        </is>
      </c>
      <c r="C23" s="661" t="n"/>
      <c r="D23" s="667" t="n">
        <v>0</v>
      </c>
      <c r="E23" s="667" t="n">
        <v>0</v>
      </c>
      <c r="F23" s="667" t="n">
        <v>0</v>
      </c>
      <c r="G23" s="667" t="n">
        <v>0</v>
      </c>
      <c r="H23" s="662" t="n"/>
      <c r="I23" s="662" t="n"/>
      <c r="J23" s="662" t="n"/>
      <c r="K23" s="661" t="n"/>
      <c r="L23" s="667" t="n">
        <v>0</v>
      </c>
      <c r="M23" s="667" t="n">
        <v>0</v>
      </c>
      <c r="N23" s="388" t="n"/>
    </row>
    <row r="24" ht="17.1" customHeight="1" s="373">
      <c r="A24" s="393" t="inlineStr">
        <is>
          <t>2. Các khoản phí, lệ phí</t>
        </is>
      </c>
      <c r="B24" s="495" t="inlineStr">
        <is>
          <t>32</t>
        </is>
      </c>
      <c r="C24" s="661" t="n"/>
      <c r="D24" s="667" t="n">
        <v>0</v>
      </c>
      <c r="E24" s="667" t="n">
        <v>0</v>
      </c>
      <c r="F24" s="667" t="n">
        <v>0</v>
      </c>
      <c r="G24" s="667" t="n">
        <v>0</v>
      </c>
      <c r="H24" s="662" t="n"/>
      <c r="I24" s="662" t="n"/>
      <c r="J24" s="662" t="n"/>
      <c r="K24" s="661" t="n"/>
      <c r="L24" s="667" t="n">
        <v>0</v>
      </c>
      <c r="M24" s="667" t="n">
        <v>0</v>
      </c>
      <c r="N24" s="388" t="n"/>
    </row>
    <row r="25" ht="17.85" customHeight="1" s="373">
      <c r="A25" s="393" t="inlineStr">
        <is>
          <t>3. Các khoản khác</t>
        </is>
      </c>
      <c r="B25" s="495" t="inlineStr">
        <is>
          <t>33</t>
        </is>
      </c>
      <c r="C25" s="661" t="n"/>
      <c r="D25" s="667" t="n">
        <v>0</v>
      </c>
      <c r="E25" s="667" t="n">
        <v>0</v>
      </c>
      <c r="F25" s="667" t="n">
        <v>0</v>
      </c>
      <c r="G25" s="667" t="n">
        <v>0</v>
      </c>
      <c r="H25" s="662" t="n"/>
      <c r="I25" s="662" t="n"/>
      <c r="J25" s="662" t="n"/>
      <c r="K25" s="661" t="n"/>
      <c r="L25" s="667" t="n">
        <v>0</v>
      </c>
      <c r="M25" s="667" t="n">
        <v>0</v>
      </c>
      <c r="N25" s="388" t="n"/>
    </row>
    <row r="26" ht="17.85" customHeight="1" s="373">
      <c r="A26" s="391" t="inlineStr">
        <is>
          <t>Tổng cộng</t>
        </is>
      </c>
      <c r="B26" s="500" t="inlineStr">
        <is>
          <t>40</t>
        </is>
      </c>
      <c r="C26" s="661" t="n"/>
      <c r="D26" s="666" t="n">
        <v>2104207557</v>
      </c>
      <c r="E26" s="666" t="n">
        <v>2247355787</v>
      </c>
      <c r="F26" s="666" t="n">
        <v>3229324778</v>
      </c>
      <c r="G26" s="666" t="n">
        <v>2247355787</v>
      </c>
      <c r="H26" s="662" t="n"/>
      <c r="I26" s="662" t="n"/>
      <c r="J26" s="662" t="n"/>
      <c r="K26" s="661" t="n"/>
      <c r="L26" s="666" t="n">
        <v>3229324778</v>
      </c>
      <c r="M26" s="666" t="n">
        <v>1122238566</v>
      </c>
      <c r="N26" s="388" t="n"/>
    </row>
    <row r="27" ht="5.85" customHeight="1" s="373">
      <c r="A27" s="395" t="n"/>
      <c r="B27" s="395" t="n"/>
      <c r="C27" s="395" t="n"/>
      <c r="D27" s="395" t="n"/>
      <c r="E27" s="395" t="n"/>
      <c r="F27" s="395" t="n"/>
      <c r="G27" s="395" t="n"/>
      <c r="H27" s="395" t="n"/>
      <c r="I27" s="395" t="n"/>
      <c r="J27" s="395" t="n"/>
      <c r="K27" s="395" t="n"/>
      <c r="L27" s="395" t="n"/>
      <c r="M27" s="395" t="n"/>
    </row>
    <row r="28" ht="17.1" customHeight="1" s="373">
      <c r="A28" s="493" t="inlineStr">
        <is>
          <t>Người lập biểu</t>
        </is>
      </c>
      <c r="D28" s="493" t="inlineStr">
        <is>
          <t>Kế toán trưởng</t>
        </is>
      </c>
      <c r="I28" s="493" t="inlineStr">
        <is>
          <t>Giám đốc</t>
        </is>
      </c>
    </row>
    <row r="29" ht="17.85" customHeight="1" s="373">
      <c r="A29" s="494" t="inlineStr">
        <is>
          <t>(Ký, ghi rõ họ tên)</t>
        </is>
      </c>
      <c r="D29" s="494" t="inlineStr">
        <is>
          <t>(Ký, ghi rõ họ tên)</t>
        </is>
      </c>
      <c r="I29" s="494" t="inlineStr">
        <is>
          <t>(Ký, đóng dấu, ghi rõ họ tên)</t>
        </is>
      </c>
    </row>
    <row r="30" ht="72.59999999999999" customHeight="1" s="373"/>
    <row r="31" ht="17.85" customHeight="1" s="373">
      <c r="A31" s="491" t="inlineStr">
        <is>
          <t>Nguyễn Tuan Anh</t>
        </is>
      </c>
    </row>
    <row r="32" ht="5.85" customHeight="1" s="373"/>
    <row r="33" ht="17.1" customHeight="1" s="373">
      <c r="A33" s="492" t="inlineStr">
        <is>
          <t>MISA SME</t>
        </is>
      </c>
    </row>
  </sheetData>
  <mergeCells count="53">
    <mergeCell ref="B16:C16"/>
    <mergeCell ref="G21:K21"/>
    <mergeCell ref="A5:M5"/>
    <mergeCell ref="G12:K12"/>
    <mergeCell ref="B25:C25"/>
    <mergeCell ref="A4:M4"/>
    <mergeCell ref="G11:K11"/>
    <mergeCell ref="B22:C22"/>
    <mergeCell ref="G9:K9"/>
    <mergeCell ref="D29:G29"/>
    <mergeCell ref="B18:C18"/>
    <mergeCell ref="G23:K23"/>
    <mergeCell ref="E8:F8"/>
    <mergeCell ref="A1:N1"/>
    <mergeCell ref="G17:K17"/>
    <mergeCell ref="B12:C12"/>
    <mergeCell ref="B21:C21"/>
    <mergeCell ref="A33:I33"/>
    <mergeCell ref="B11:C11"/>
    <mergeCell ref="G10:K10"/>
    <mergeCell ref="B23:C23"/>
    <mergeCell ref="B14:C14"/>
    <mergeCell ref="G19:K19"/>
    <mergeCell ref="G13:K13"/>
    <mergeCell ref="I28:M28"/>
    <mergeCell ref="B17:C17"/>
    <mergeCell ref="G18:K18"/>
    <mergeCell ref="B13:C13"/>
    <mergeCell ref="A8:A9"/>
    <mergeCell ref="G15:K15"/>
    <mergeCell ref="B19:C19"/>
    <mergeCell ref="G24:K24"/>
    <mergeCell ref="A2:N2"/>
    <mergeCell ref="B10:C10"/>
    <mergeCell ref="M8:M9"/>
    <mergeCell ref="G14:K14"/>
    <mergeCell ref="D8:D9"/>
    <mergeCell ref="G26:K26"/>
    <mergeCell ref="B24:C24"/>
    <mergeCell ref="B8:C9"/>
    <mergeCell ref="B15:C15"/>
    <mergeCell ref="G20:K20"/>
    <mergeCell ref="A29:B29"/>
    <mergeCell ref="I29:M29"/>
    <mergeCell ref="B20:C20"/>
    <mergeCell ref="G16:K16"/>
    <mergeCell ref="A28:B28"/>
    <mergeCell ref="G25:K25"/>
    <mergeCell ref="G8:L8"/>
    <mergeCell ref="B26:C26"/>
    <mergeCell ref="A31:B31"/>
    <mergeCell ref="G22:K22"/>
    <mergeCell ref="D28:G28"/>
  </mergeCells>
  <pageMargins left="0.7" right="0.7" top="0.75" bottom="0.75" header="0.3" footer="0.3"/>
</worksheet>
</file>

<file path=xl/worksheets/sheet7.xml><?xml version="1.0" encoding="utf-8"?>
<worksheet xmlns="http://schemas.openxmlformats.org/spreadsheetml/2006/main">
  <sheetPr codeName="Sheet7">
    <outlinePr summaryBelow="1" summaryRight="1"/>
    <pageSetUpPr/>
  </sheetPr>
  <dimension ref="A1:Q15"/>
  <sheetViews>
    <sheetView topLeftCell="D1" workbookViewId="0">
      <selection activeCell="H17" sqref="H17"/>
    </sheetView>
  </sheetViews>
  <sheetFormatPr baseColWidth="8" defaultColWidth="8.7109375" defaultRowHeight="15"/>
  <cols>
    <col width="9.5703125" customWidth="1" style="373" min="1" max="1"/>
    <col width="19.140625" customWidth="1" style="373" min="2" max="4"/>
    <col width="15" bestFit="1" customWidth="1" style="292" min="5" max="5"/>
    <col width="9.5703125" customWidth="1" style="373" min="6" max="6"/>
    <col width="11.7109375" customWidth="1" style="292" min="7" max="7"/>
    <col width="11.85546875" customWidth="1" style="293" min="8" max="8"/>
    <col width="15.140625" customWidth="1" style="293" min="9" max="9"/>
    <col width="10.85546875" customWidth="1" style="294" min="10" max="13"/>
    <col width="8.42578125" customWidth="1" style="294" min="14" max="14"/>
    <col width="10.85546875" customWidth="1" style="294" min="15" max="15"/>
    <col width="8.140625" customWidth="1" style="373" min="16" max="17"/>
    <col width="8.7109375" customWidth="1" style="373" min="18" max="16384"/>
  </cols>
  <sheetData>
    <row r="1" ht="18.75" customHeight="1" s="373">
      <c r="A1" s="516" t="inlineStr">
        <is>
          <t>SỔ TÀI SẢN CỐ ĐỊNH</t>
        </is>
      </c>
    </row>
    <row r="2">
      <c r="A2" s="517" t="inlineStr">
        <is>
          <t>Quý 1 năm 2026</t>
        </is>
      </c>
    </row>
    <row r="3" ht="15" customHeight="1" s="373">
      <c r="A3" s="518" t="inlineStr">
        <is>
          <t>Mã TSCĐ</t>
        </is>
      </c>
      <c r="B3" s="518" t="inlineStr">
        <is>
          <t>Tên TSCĐ</t>
        </is>
      </c>
      <c r="C3" s="518" t="inlineStr">
        <is>
          <t>Loại TSCĐ</t>
        </is>
      </c>
      <c r="D3" s="518" t="inlineStr">
        <is>
          <t>Đơn vị sử dụng</t>
        </is>
      </c>
      <c r="E3" s="522" t="inlineStr">
        <is>
          <t>Ngày ghi tăng</t>
        </is>
      </c>
      <c r="F3" s="518" t="inlineStr">
        <is>
          <t>Số CT ghi tăng</t>
        </is>
      </c>
      <c r="G3" s="522" t="inlineStr">
        <is>
          <t>Ngày bắt đầu tính KH</t>
        </is>
      </c>
      <c r="H3" s="399" t="inlineStr">
        <is>
          <t>Thời gian SD (tháng)</t>
        </is>
      </c>
      <c r="I3" s="399" t="inlineStr">
        <is>
          <t>Thời gian SD còn lại (tháng)</t>
        </is>
      </c>
      <c r="J3" s="377" t="inlineStr">
        <is>
          <t>Nguyên giá</t>
        </is>
      </c>
      <c r="K3" s="377" t="inlineStr">
        <is>
          <t>Giá trị tính KH</t>
        </is>
      </c>
      <c r="L3" s="377" t="inlineStr">
        <is>
          <t>Hao mòn trong kỳ</t>
        </is>
      </c>
      <c r="M3" s="377" t="inlineStr">
        <is>
          <t>Hao mòn lũy kế</t>
        </is>
      </c>
      <c r="N3" s="377" t="inlineStr">
        <is>
          <t>Giá trị còn lại</t>
        </is>
      </c>
      <c r="O3" s="377" t="inlineStr">
        <is>
          <t>Giá trị KH tháng</t>
        </is>
      </c>
      <c r="P3" s="518" t="inlineStr">
        <is>
          <t>TK nguyên giá</t>
        </is>
      </c>
      <c r="Q3" s="518" t="inlineStr">
        <is>
          <t>TK khấu hao</t>
        </is>
      </c>
    </row>
    <row r="4">
      <c r="A4" s="379" t="inlineStr">
        <is>
          <t>TSCĐ_PHOTO_002</t>
        </is>
      </c>
      <c r="B4" s="379" t="inlineStr">
        <is>
          <t>Máy Photocopy Fuji XEROX Docucentre IV2060DD</t>
        </is>
      </c>
      <c r="C4" s="379" t="inlineStr">
        <is>
          <t>Máy móc, thiết bị</t>
        </is>
      </c>
      <c r="D4" s="379" t="inlineStr">
        <is>
          <t>PHÒNG TRIỂN KHAI SẢN PHẨM VÀ DV KHÁCH HÀNG</t>
        </is>
      </c>
      <c r="E4" s="378" t="n">
        <v>41190</v>
      </c>
      <c r="F4" s="379" t="inlineStr">
        <is>
          <t>OPN</t>
        </is>
      </c>
      <c r="G4" s="378" t="n">
        <v>41190</v>
      </c>
      <c r="H4" s="400" t="n">
        <v>36</v>
      </c>
      <c r="I4" s="400" t="n">
        <v>26</v>
      </c>
      <c r="J4" s="381" t="n">
        <v>58500000</v>
      </c>
      <c r="K4" s="381" t="n">
        <v>58500000</v>
      </c>
      <c r="L4" s="381" t="n"/>
      <c r="M4" s="381" t="n">
        <v>58500000</v>
      </c>
      <c r="N4" s="381" t="n">
        <v>0</v>
      </c>
      <c r="O4" s="381" t="n">
        <v>1625000</v>
      </c>
      <c r="P4" s="379" t="inlineStr">
        <is>
          <t>21121.01</t>
        </is>
      </c>
      <c r="Q4" s="379" t="inlineStr">
        <is>
          <t>21411.02</t>
        </is>
      </c>
    </row>
    <row r="5">
      <c r="A5" s="379" t="inlineStr">
        <is>
          <t>TSCĐ_MAYCHIEU_X608_1</t>
        </is>
      </c>
      <c r="B5" s="379" t="inlineStr">
        <is>
          <t>Máy chiếu HITACHI CP - X608</t>
        </is>
      </c>
      <c r="C5" s="379" t="inlineStr">
        <is>
          <t>Máy móc, thiết bị</t>
        </is>
      </c>
      <c r="D5" s="379" t="inlineStr">
        <is>
          <t xml:space="preserve">PHÒNG KẾ TOÁN TÀI CHÍNH </t>
        </is>
      </c>
      <c r="E5" s="378" t="n">
        <v>41208</v>
      </c>
      <c r="F5" s="379" t="inlineStr">
        <is>
          <t>OPN</t>
        </is>
      </c>
      <c r="G5" s="378" t="n">
        <v>41208</v>
      </c>
      <c r="H5" s="400" t="n">
        <v>48</v>
      </c>
      <c r="I5" s="400" t="n">
        <v>38</v>
      </c>
      <c r="J5" s="381" t="n">
        <v>60375000</v>
      </c>
      <c r="K5" s="381" t="n">
        <v>60375000</v>
      </c>
      <c r="L5" s="381" t="n"/>
      <c r="M5" s="381" t="n">
        <v>60375000</v>
      </c>
      <c r="N5" s="381" t="n">
        <v>0</v>
      </c>
      <c r="O5" s="381" t="n">
        <v>1257813</v>
      </c>
      <c r="P5" s="379" t="inlineStr">
        <is>
          <t>21121.01</t>
        </is>
      </c>
      <c r="Q5" s="379" t="inlineStr">
        <is>
          <t>21411.02</t>
        </is>
      </c>
    </row>
    <row r="6">
      <c r="A6" s="379" t="inlineStr">
        <is>
          <t>OTOCAMRY2.0</t>
        </is>
      </c>
      <c r="B6" s="379" t="inlineStr">
        <is>
          <t>OTOCAMRY2.0</t>
        </is>
      </c>
      <c r="C6" s="379" t="inlineStr">
        <is>
          <t>Phương tiện vận tải, truyền dẫn</t>
        </is>
      </c>
      <c r="D6" s="379" t="inlineStr">
        <is>
          <t>BAN GIÁM ĐỐC</t>
        </is>
      </c>
      <c r="E6" s="378" t="n">
        <v>42741</v>
      </c>
      <c r="F6" s="379" t="inlineStr">
        <is>
          <t>OTOCAMRY2.0</t>
        </is>
      </c>
      <c r="G6" s="378" t="n">
        <v>42741</v>
      </c>
      <c r="H6" s="400" t="n">
        <v>96</v>
      </c>
      <c r="I6" s="400" t="n">
        <v>0</v>
      </c>
      <c r="J6" s="381" t="n">
        <v>1152821818</v>
      </c>
      <c r="K6" s="381" t="n">
        <v>1152821818</v>
      </c>
      <c r="L6" s="381" t="n"/>
      <c r="M6" s="381" t="n">
        <v>1152821818</v>
      </c>
      <c r="N6" s="381" t="n">
        <v>0</v>
      </c>
      <c r="O6" s="381" t="n">
        <v>17482944</v>
      </c>
      <c r="P6" s="379" t="inlineStr">
        <is>
          <t>21131.01</t>
        </is>
      </c>
      <c r="Q6" s="379" t="inlineStr">
        <is>
          <t>21411.01</t>
        </is>
      </c>
    </row>
    <row r="7">
      <c r="A7" s="379" t="inlineStr">
        <is>
          <t>FORTUNER2.7V</t>
        </is>
      </c>
      <c r="B7" s="379" t="inlineStr">
        <is>
          <t>OTO FORTUNER 2.7V</t>
        </is>
      </c>
      <c r="C7" s="379" t="inlineStr">
        <is>
          <t>Phương tiện vận tải, truyền dẫn</t>
        </is>
      </c>
      <c r="D7" s="379" t="inlineStr">
        <is>
          <t>PHÒNG PHÁT TRIỂN KINH DOANH</t>
        </is>
      </c>
      <c r="E7" s="378" t="n">
        <v>43410</v>
      </c>
      <c r="F7" s="379" t="inlineStr">
        <is>
          <t>OTO FORTUNER 2.7V</t>
        </is>
      </c>
      <c r="G7" s="378" t="n">
        <v>43410</v>
      </c>
      <c r="H7" s="400" t="n">
        <v>72</v>
      </c>
      <c r="I7" s="400" t="n">
        <v>0</v>
      </c>
      <c r="J7" s="381" t="n">
        <v>1203334545</v>
      </c>
      <c r="K7" s="381" t="n">
        <v>1203334545</v>
      </c>
      <c r="L7" s="381" t="n"/>
      <c r="M7" s="381" t="n">
        <v>1203334545</v>
      </c>
      <c r="N7" s="381" t="n">
        <v>0</v>
      </c>
      <c r="O7" s="381" t="n">
        <v>16712980</v>
      </c>
      <c r="P7" s="379" t="inlineStr">
        <is>
          <t>21131.01</t>
        </is>
      </c>
      <c r="Q7" s="379" t="inlineStr">
        <is>
          <t>21411.01</t>
        </is>
      </c>
    </row>
    <row r="8">
      <c r="A8" s="379" t="inlineStr">
        <is>
          <t>GHE SOFA</t>
        </is>
      </c>
      <c r="B8" s="379" t="inlineStr">
        <is>
          <t>GHE SOFA</t>
        </is>
      </c>
      <c r="C8" s="379" t="inlineStr">
        <is>
          <t>Tài sản cố định khác</t>
        </is>
      </c>
      <c r="D8" s="379" t="inlineStr">
        <is>
          <t>BAN GIÁM ĐỐC</t>
        </is>
      </c>
      <c r="E8" s="378" t="n">
        <v>43851</v>
      </c>
      <c r="F8" s="379" t="inlineStr">
        <is>
          <t>SOFA DA</t>
        </is>
      </c>
      <c r="G8" s="378" t="n">
        <v>43851</v>
      </c>
      <c r="H8" s="400" t="n">
        <v>48</v>
      </c>
      <c r="I8" s="400" t="n">
        <v>0</v>
      </c>
      <c r="J8" s="381" t="n">
        <v>70120000</v>
      </c>
      <c r="K8" s="381" t="n">
        <v>70120000</v>
      </c>
      <c r="L8" s="381" t="n"/>
      <c r="M8" s="381" t="n">
        <v>70120000</v>
      </c>
      <c r="N8" s="381" t="n">
        <v>0</v>
      </c>
      <c r="O8" s="381" t="n">
        <v>1460833</v>
      </c>
      <c r="P8" s="379" t="inlineStr">
        <is>
          <t>21181.01</t>
        </is>
      </c>
      <c r="Q8" s="379" t="inlineStr">
        <is>
          <t>21411.01</t>
        </is>
      </c>
    </row>
    <row r="9">
      <c r="A9" s="379" t="inlineStr">
        <is>
          <t xml:space="preserve">iPAD Pro 12.9 220 </t>
        </is>
      </c>
      <c r="B9" s="379" t="inlineStr">
        <is>
          <t>ipad</t>
        </is>
      </c>
      <c r="C9" s="379" t="inlineStr">
        <is>
          <t>Thiết bị, dụng cụ quản lý</t>
        </is>
      </c>
      <c r="D9" s="379" t="inlineStr">
        <is>
          <t>BAN GIÁM ĐỐC</t>
        </is>
      </c>
      <c r="E9" s="378" t="n">
        <v>44189</v>
      </c>
      <c r="F9" s="379" t="inlineStr">
        <is>
          <t xml:space="preserve">iPAD Pro 12.9 220 </t>
        </is>
      </c>
      <c r="G9" s="378" t="n">
        <v>44189</v>
      </c>
      <c r="H9" s="400" t="n">
        <v>36</v>
      </c>
      <c r="I9" s="400" t="n">
        <v>0</v>
      </c>
      <c r="J9" s="381" t="n">
        <v>32718182</v>
      </c>
      <c r="K9" s="381" t="n">
        <v>32718182</v>
      </c>
      <c r="L9" s="381" t="n"/>
      <c r="M9" s="381" t="n">
        <v>32718182</v>
      </c>
      <c r="N9" s="381" t="n">
        <v>0</v>
      </c>
      <c r="O9" s="381" t="n">
        <v>908838</v>
      </c>
      <c r="P9" s="379" t="inlineStr">
        <is>
          <t>21141.01</t>
        </is>
      </c>
      <c r="Q9" s="379" t="inlineStr">
        <is>
          <t>21411.02</t>
        </is>
      </c>
    </row>
    <row r="10">
      <c r="A10" s="379" t="inlineStr">
        <is>
          <t xml:space="preserve">Máy photocopy Ricoh </t>
        </is>
      </c>
      <c r="B10" s="379" t="inlineStr">
        <is>
          <t xml:space="preserve">Máy photocopy Ricoh </t>
        </is>
      </c>
      <c r="C10" s="379" t="inlineStr">
        <is>
          <t>Thiết bị, dụng cụ quản lý</t>
        </is>
      </c>
      <c r="D10" s="379" t="inlineStr">
        <is>
          <t>PHÒNG PHÁT TRIỂN KINH DOANH</t>
        </is>
      </c>
      <c r="E10" s="378" t="n">
        <v>44196</v>
      </c>
      <c r="F10" s="379" t="inlineStr">
        <is>
          <t xml:space="preserve">Máy photocopy Ricoh </t>
        </is>
      </c>
      <c r="G10" s="378" t="n">
        <v>44196</v>
      </c>
      <c r="H10" s="400" t="n">
        <v>36</v>
      </c>
      <c r="I10" s="400" t="n">
        <v>0</v>
      </c>
      <c r="J10" s="381" t="n">
        <v>44590909</v>
      </c>
      <c r="K10" s="381" t="n">
        <v>44590909</v>
      </c>
      <c r="L10" s="381" t="n"/>
      <c r="M10" s="381" t="n">
        <v>44590909</v>
      </c>
      <c r="N10" s="381" t="n">
        <v>0</v>
      </c>
      <c r="O10" s="381" t="n">
        <v>1238636</v>
      </c>
      <c r="P10" s="379" t="inlineStr">
        <is>
          <t>21141.01</t>
        </is>
      </c>
      <c r="Q10" s="379" t="inlineStr">
        <is>
          <t>21411.02</t>
        </is>
      </c>
    </row>
    <row r="11">
      <c r="A11" s="379" t="inlineStr">
        <is>
          <t xml:space="preserve">ĐTDĐ Samsung Galaxy Z </t>
        </is>
      </c>
      <c r="B11" s="379" t="inlineStr">
        <is>
          <t>ĐTDĐ Samsung Galaxy Z Fold 3 5G 512GB Phantom black</t>
        </is>
      </c>
      <c r="C11" s="379" t="inlineStr">
        <is>
          <t>Thiết bị, dụng cụ quản lý</t>
        </is>
      </c>
      <c r="D11" s="379" t="inlineStr">
        <is>
          <t>BAN GIÁM ĐỐC</t>
        </is>
      </c>
      <c r="E11" s="378" t="n">
        <v>44456</v>
      </c>
      <c r="F11" s="379" t="inlineStr">
        <is>
          <t xml:space="preserve">ĐTDĐ Samsung Galaxy </t>
        </is>
      </c>
      <c r="G11" s="378" t="n">
        <v>44456</v>
      </c>
      <c r="H11" s="400" t="n">
        <v>36</v>
      </c>
      <c r="I11" s="400" t="n">
        <v>0</v>
      </c>
      <c r="J11" s="381" t="n">
        <v>40900000</v>
      </c>
      <c r="K11" s="381" t="n">
        <v>40900000</v>
      </c>
      <c r="L11" s="381" t="n"/>
      <c r="M11" s="381" t="n">
        <v>40900000</v>
      </c>
      <c r="N11" s="381" t="n">
        <v>0</v>
      </c>
      <c r="O11" s="381" t="n">
        <v>1136111</v>
      </c>
      <c r="P11" s="379" t="inlineStr">
        <is>
          <t>21141.01</t>
        </is>
      </c>
      <c r="Q11" s="379" t="inlineStr">
        <is>
          <t>21411.02</t>
        </is>
      </c>
    </row>
    <row r="12">
      <c r="A12" s="379" t="inlineStr">
        <is>
          <t>CISCO</t>
        </is>
      </c>
      <c r="B12" s="379" t="inlineStr">
        <is>
          <t>Thiết bị hội nghị truyền hình CISCO SX10 CTS-SX10N-K9</t>
        </is>
      </c>
      <c r="C12" s="379" t="inlineStr">
        <is>
          <t>Máy móc, thiết bị</t>
        </is>
      </c>
      <c r="D12" s="379" t="inlineStr">
        <is>
          <t>PHÒNG HỌP</t>
        </is>
      </c>
      <c r="E12" s="378" t="n">
        <v>44539</v>
      </c>
      <c r="F12" s="379" t="inlineStr">
        <is>
          <t>CISCO</t>
        </is>
      </c>
      <c r="G12" s="378" t="n">
        <v>44539</v>
      </c>
      <c r="H12" s="400" t="n">
        <v>36</v>
      </c>
      <c r="I12" s="400" t="n">
        <v>0</v>
      </c>
      <c r="J12" s="381" t="n">
        <v>46000000</v>
      </c>
      <c r="K12" s="381" t="n">
        <v>46000000</v>
      </c>
      <c r="L12" s="381" t="n"/>
      <c r="M12" s="381" t="n">
        <v>46000000</v>
      </c>
      <c r="N12" s="381" t="n">
        <v>0</v>
      </c>
      <c r="O12" s="381" t="n">
        <v>1277778</v>
      </c>
      <c r="P12" s="379" t="inlineStr">
        <is>
          <t>21141.01</t>
        </is>
      </c>
      <c r="Q12" s="379" t="inlineStr">
        <is>
          <t>21411.02</t>
        </is>
      </c>
    </row>
    <row r="13">
      <c r="A13" s="379" t="inlineStr">
        <is>
          <t>Máy tính xách tay Lenovo</t>
        </is>
      </c>
      <c r="B13" s="379" t="inlineStr">
        <is>
          <t>Máy tính xách tay Lenovo ThinkPad T14S GEN4</t>
        </is>
      </c>
      <c r="C13" s="379" t="inlineStr">
        <is>
          <t>Thiết bị, dụng cụ quản lý</t>
        </is>
      </c>
      <c r="D13" s="379" t="inlineStr">
        <is>
          <t>BAN GIÁM ĐỐC</t>
        </is>
      </c>
      <c r="E13" s="378" t="n">
        <v>45576</v>
      </c>
      <c r="F13" s="379" t="inlineStr">
        <is>
          <t>LENOVO</t>
        </is>
      </c>
      <c r="G13" s="378" t="n">
        <v>45576</v>
      </c>
      <c r="H13" s="400" t="n">
        <v>36</v>
      </c>
      <c r="I13" s="400" t="n">
        <v>18</v>
      </c>
      <c r="J13" s="381" t="n">
        <v>33445455</v>
      </c>
      <c r="K13" s="381" t="n">
        <v>33445455</v>
      </c>
      <c r="L13" s="381" t="n">
        <v>2787120</v>
      </c>
      <c r="M13" s="381" t="n">
        <v>16423030</v>
      </c>
      <c r="N13" s="381" t="n">
        <v>17022425</v>
      </c>
      <c r="O13" s="381" t="n">
        <v>929040</v>
      </c>
      <c r="P13" s="379" t="inlineStr">
        <is>
          <t>21141.01</t>
        </is>
      </c>
      <c r="Q13" s="379" t="inlineStr">
        <is>
          <t>21411.01</t>
        </is>
      </c>
    </row>
    <row r="14">
      <c r="A14" s="379" t="inlineStr">
        <is>
          <t>Máy tính xách tay LG Gram</t>
        </is>
      </c>
      <c r="B14" s="379" t="inlineStr">
        <is>
          <t>Máy tính xách tay LG Gram 14Z90S G.AH75A5</t>
        </is>
      </c>
      <c r="C14" s="379" t="inlineStr">
        <is>
          <t>Thiết bị, dụng cụ quản lý</t>
        </is>
      </c>
      <c r="D14" s="379" t="inlineStr">
        <is>
          <t>BAN GIÁM ĐỐC</t>
        </is>
      </c>
      <c r="E14" s="378" t="n">
        <v>45576</v>
      </c>
      <c r="F14" s="379" t="inlineStr">
        <is>
          <t>LG Gram</t>
        </is>
      </c>
      <c r="G14" s="378" t="n">
        <v>45576</v>
      </c>
      <c r="H14" s="400" t="n">
        <v>36</v>
      </c>
      <c r="I14" s="400" t="n">
        <v>18</v>
      </c>
      <c r="J14" s="381" t="n">
        <v>35263636</v>
      </c>
      <c r="K14" s="381" t="n">
        <v>35263636</v>
      </c>
      <c r="L14" s="381" t="n">
        <v>2938635</v>
      </c>
      <c r="M14" s="381" t="n">
        <v>17315828</v>
      </c>
      <c r="N14" s="381" t="n">
        <v>17947808</v>
      </c>
      <c r="O14" s="381" t="n">
        <v>979545</v>
      </c>
      <c r="P14" s="379" t="inlineStr">
        <is>
          <t>21141.01</t>
        </is>
      </c>
      <c r="Q14" s="379" t="inlineStr">
        <is>
          <t>21411.01</t>
        </is>
      </c>
    </row>
    <row r="15">
      <c r="A15" s="396" t="inlineStr">
        <is>
          <t>Số dòng = 11</t>
        </is>
      </c>
      <c r="H15" s="401" t="n">
        <v>516</v>
      </c>
      <c r="I15" s="401" t="n">
        <v>100</v>
      </c>
      <c r="J15" s="384" t="n">
        <v>2778069545</v>
      </c>
      <c r="K15" s="384" t="n">
        <v>2778069545</v>
      </c>
      <c r="L15" s="384" t="n">
        <v>5725755</v>
      </c>
      <c r="M15" s="384" t="n">
        <v>2743099312</v>
      </c>
      <c r="N15" s="384" t="n">
        <v>34970233</v>
      </c>
      <c r="O15" s="384" t="n">
        <v>45009518</v>
      </c>
    </row>
  </sheetData>
  <autoFilter ref="A3:S3">
    <sortState ref="A4:S15">
      <sortCondition ref="B3"/>
    </sortState>
  </autoFilter>
  <mergeCells count="2">
    <mergeCell ref="A2:Q2"/>
    <mergeCell ref="A1:Q1"/>
  </mergeCells>
  <dataValidations count="5">
    <dataValidation sqref="P4:Q12" showDropDown="0" showInputMessage="1" showErrorMessage="0" allowBlank="1" type="list">
      <formula1>#REF!</formula1>
    </dataValidation>
    <dataValidation sqref="S21:S31" showDropDown="0" showInputMessage="1" showErrorMessage="0" allowBlank="1" type="list">
      <formula1>#REF!</formula1>
    </dataValidation>
    <dataValidation sqref="R21:R31" showDropDown="0" showInputMessage="1" showErrorMessage="0" allowBlank="1" type="list">
      <formula1>#REF!</formula1>
    </dataValidation>
    <dataValidation sqref="Q21:Q31" showDropDown="0" showInputMessage="1" showErrorMessage="0" allowBlank="1" type="list">
      <formula1>#REF!</formula1>
    </dataValidation>
    <dataValidation sqref="P21:P31" showDropDown="0" showInputMessage="1" showErrorMessage="0" allowBlank="1" type="list">
      <formula1>#REF!</formula1>
    </dataValidation>
  </dataValidations>
  <pageMargins left="0.7" right="0.7" top="0.75" bottom="0.75" header="0.3" footer="0.3"/>
  <pageSetup orientation="portrait"/>
</worksheet>
</file>

<file path=xl/worksheets/sheet8.xml><?xml version="1.0" encoding="utf-8"?>
<worksheet xmlns="http://schemas.openxmlformats.org/spreadsheetml/2006/main">
  <sheetPr codeName="Sheet8">
    <outlinePr summaryBelow="1" summaryRight="1"/>
    <pageSetUpPr/>
  </sheetPr>
  <dimension ref="A1:AK90"/>
  <sheetViews>
    <sheetView topLeftCell="A13" workbookViewId="0">
      <pane xSplit="1" topLeftCell="B1" activePane="topRight" state="frozen"/>
      <selection pane="topRight" activeCell="F22" sqref="F22"/>
    </sheetView>
  </sheetViews>
  <sheetFormatPr baseColWidth="8" defaultRowHeight="15"/>
  <cols>
    <col width="19" bestFit="1" customWidth="1" style="668" min="2" max="3"/>
    <col width="21.7109375" bestFit="1" customWidth="1" style="668" min="4" max="5"/>
    <col width="19" bestFit="1" customWidth="1" style="668" min="6" max="7"/>
    <col width="16.85546875" bestFit="1" customWidth="1" style="364" min="8" max="8"/>
    <col width="19" bestFit="1" customWidth="1" style="364" min="9" max="9"/>
    <col width="9.140625" customWidth="1" style="364" min="10" max="10"/>
    <col width="12" bestFit="1" customWidth="1" style="274" min="11" max="11"/>
    <col width="12" bestFit="1" customWidth="1" style="669" min="12" max="12"/>
    <col width="12" bestFit="1" customWidth="1" style="274" min="13" max="16"/>
    <col width="9.140625" customWidth="1" style="364" min="17" max="17"/>
    <col width="9.140625" customWidth="1" style="332" min="18" max="19"/>
    <col width="17.7109375" bestFit="1" customWidth="1" style="332" min="20" max="20"/>
    <col width="18.7109375" bestFit="1" customWidth="1" style="332" min="21" max="21"/>
    <col width="18" bestFit="1" customWidth="1" style="332" min="22" max="22"/>
    <col width="15" bestFit="1" customWidth="1" style="332" min="23" max="23"/>
    <col width="9.140625" customWidth="1" style="332" min="24" max="37"/>
  </cols>
  <sheetData>
    <row r="1">
      <c r="A1" s="239" t="inlineStr">
        <is>
          <t>101101</t>
        </is>
      </c>
      <c r="B1" s="670" t="n">
        <v>310486901</v>
      </c>
      <c r="C1" s="670" t="n">
        <v>0</v>
      </c>
      <c r="D1" s="670" t="n">
        <v>382976974</v>
      </c>
      <c r="E1" s="670" t="n">
        <v>331744738</v>
      </c>
      <c r="F1" s="670" t="n">
        <v>361719137</v>
      </c>
      <c r="G1" s="670" t="n">
        <v>0</v>
      </c>
      <c r="H1" s="364" t="inlineStr">
        <is>
          <t>NOTE</t>
        </is>
      </c>
      <c r="J1" s="671" t="n"/>
      <c r="K1" s="274">
        <f>VLOOKUP($A1,[3]Sheet1!$A:$J,3,0)</f>
        <v/>
      </c>
      <c r="L1" s="274">
        <f>VLOOKUP($A1,[3]Sheet1!$A:$J,4,0)</f>
        <v/>
      </c>
      <c r="M1" s="274">
        <f>VLOOKUP($A1,[3]Sheet1!$A:$J,5,0)</f>
        <v/>
      </c>
      <c r="N1" s="274">
        <f>VLOOKUP($A1,[3]Sheet1!$A:$J,6,0)</f>
        <v/>
      </c>
      <c r="O1" s="274">
        <f>VLOOKUP($A1,[3]Sheet1!$A:$J,7,0)</f>
        <v/>
      </c>
      <c r="P1" s="274">
        <f>VLOOKUP($A1,[3]Sheet1!$A:$J,8,0)</f>
        <v/>
      </c>
      <c r="R1" s="672">
        <f>K1-B1</f>
        <v/>
      </c>
      <c r="S1" s="672">
        <f>L1-C1</f>
        <v/>
      </c>
      <c r="T1" s="672">
        <f>M1-D1</f>
        <v/>
      </c>
      <c r="U1" s="672">
        <f>N1-E1</f>
        <v/>
      </c>
      <c r="V1" s="672">
        <f>O1-F1</f>
        <v/>
      </c>
      <c r="W1" s="672">
        <f>P1-G1</f>
        <v/>
      </c>
    </row>
    <row r="2">
      <c r="A2" s="239" t="inlineStr">
        <is>
          <t>131101</t>
        </is>
      </c>
      <c r="B2" s="670" t="n">
        <v>299738414128</v>
      </c>
      <c r="C2" s="670" t="n">
        <v>0</v>
      </c>
      <c r="D2" s="673">
        <f>10364202871348+'But toan can tru'!D25</f>
        <v/>
      </c>
      <c r="E2" s="670" t="n">
        <v>10589466947147</v>
      </c>
      <c r="F2" s="673">
        <f>74474338329+'But toan can tru'!D25</f>
        <v/>
      </c>
      <c r="G2" s="670" t="n">
        <v>0</v>
      </c>
      <c r="H2" s="672" t="inlineStr">
        <is>
          <t>Cấn trừ</t>
        </is>
      </c>
      <c r="I2" s="674">
        <f>B2-E2+D2-F2</f>
        <v/>
      </c>
      <c r="J2" s="671" t="n"/>
      <c r="K2" s="274">
        <f>VLOOKUP($A2,[3]Sheet1!$A:$J,3,0)</f>
        <v/>
      </c>
      <c r="L2" s="274">
        <f>VLOOKUP($A2,[3]Sheet1!$A:$J,4,0)</f>
        <v/>
      </c>
      <c r="M2" s="274">
        <f>VLOOKUP($A2,[3]Sheet1!$A:$J,5,0)</f>
        <v/>
      </c>
      <c r="N2" s="274">
        <f>VLOOKUP($A2,[3]Sheet1!$A:$J,6,0)</f>
        <v/>
      </c>
      <c r="O2" s="274">
        <f>VLOOKUP($A2,[3]Sheet1!$A:$J,7,0)</f>
        <v/>
      </c>
      <c r="P2" s="274">
        <f>VLOOKUP($A2,[3]Sheet1!$A:$J,8,0)</f>
        <v/>
      </c>
      <c r="R2" s="672">
        <f>K2-B2</f>
        <v/>
      </c>
      <c r="S2" s="672">
        <f>L2-C2</f>
        <v/>
      </c>
      <c r="T2" s="672">
        <f>M2-D2</f>
        <v/>
      </c>
      <c r="U2" s="672">
        <f>N2-E2</f>
        <v/>
      </c>
      <c r="V2" s="672">
        <f>O2-F2</f>
        <v/>
      </c>
      <c r="W2" s="672">
        <f>P2-G2</f>
        <v/>
      </c>
    </row>
    <row r="3">
      <c r="A3" s="239" t="inlineStr">
        <is>
          <t>131201</t>
        </is>
      </c>
      <c r="B3" s="670" t="n">
        <v>58000000000</v>
      </c>
      <c r="C3" s="670" t="n">
        <v>0</v>
      </c>
      <c r="D3" s="670" t="n">
        <v>57000000000</v>
      </c>
      <c r="E3" s="670" t="n">
        <v>50000000000</v>
      </c>
      <c r="F3" s="670" t="n">
        <v>65000000000</v>
      </c>
      <c r="G3" s="670" t="n">
        <v>0</v>
      </c>
      <c r="H3" s="675" t="n"/>
      <c r="J3" s="671" t="n"/>
      <c r="K3" s="274">
        <f>VLOOKUP($A3,[3]Sheet1!$A:$J,3,0)</f>
        <v/>
      </c>
      <c r="L3" s="274">
        <f>VLOOKUP($A3,[3]Sheet1!$A:$J,4,0)</f>
        <v/>
      </c>
      <c r="M3" s="274">
        <f>VLOOKUP($A3,[3]Sheet1!$A:$J,5,0)</f>
        <v/>
      </c>
      <c r="N3" s="274">
        <f>VLOOKUP($A3,[3]Sheet1!$A:$J,6,0)</f>
        <v/>
      </c>
      <c r="O3" s="274">
        <f>VLOOKUP($A3,[3]Sheet1!$A:$J,7,0)</f>
        <v/>
      </c>
      <c r="P3" s="274">
        <f>VLOOKUP($A3,[3]Sheet1!$A:$J,8,0)</f>
        <v/>
      </c>
      <c r="R3" s="672">
        <f>K3-B3</f>
        <v/>
      </c>
      <c r="S3" s="672">
        <f>L3-C3</f>
        <v/>
      </c>
      <c r="T3" s="672">
        <f>M3-D3</f>
        <v/>
      </c>
      <c r="U3" s="672">
        <f>N3-E3</f>
        <v/>
      </c>
      <c r="V3" s="672">
        <f>O3-F3</f>
        <v/>
      </c>
      <c r="W3" s="672">
        <f>P3-G3</f>
        <v/>
      </c>
    </row>
    <row r="4">
      <c r="A4" s="239" t="inlineStr">
        <is>
          <t>132101</t>
        </is>
      </c>
      <c r="B4" s="670" t="n">
        <v>39966905479</v>
      </c>
      <c r="C4" s="670" t="n">
        <v>0</v>
      </c>
      <c r="D4" s="670" t="n">
        <v>8196460662442</v>
      </c>
      <c r="E4" s="670" t="n">
        <v>8189592093757</v>
      </c>
      <c r="F4" s="670" t="n">
        <v>46835474164</v>
      </c>
      <c r="G4" s="670" t="n">
        <v>0</v>
      </c>
      <c r="H4" s="672" t="n"/>
      <c r="I4" s="674" t="n"/>
      <c r="J4" s="671" t="n"/>
      <c r="K4" s="274">
        <f>VLOOKUP($A4,[3]Sheet1!$A:$J,3,0)</f>
        <v/>
      </c>
      <c r="L4" s="274">
        <f>VLOOKUP($A4,[3]Sheet1!$A:$J,4,0)</f>
        <v/>
      </c>
      <c r="M4" s="274">
        <f>VLOOKUP($A4,[3]Sheet1!$A:$J,5,0)</f>
        <v/>
      </c>
      <c r="N4" s="274">
        <f>VLOOKUP($A4,[3]Sheet1!$A:$J,6,0)</f>
        <v/>
      </c>
      <c r="O4" s="274">
        <f>VLOOKUP($A4,[3]Sheet1!$A:$J,7,0)</f>
        <v/>
      </c>
      <c r="P4" s="274">
        <f>VLOOKUP($A4,[3]Sheet1!$A:$J,8,0)</f>
        <v/>
      </c>
      <c r="R4" s="672">
        <f>K4-B4</f>
        <v/>
      </c>
      <c r="S4" s="672">
        <f>L4-C4</f>
        <v/>
      </c>
      <c r="T4" s="672">
        <f>M4-D4</f>
        <v/>
      </c>
      <c r="U4" s="672">
        <f>N4-E4</f>
        <v/>
      </c>
      <c r="V4" s="672">
        <f>O4-F4</f>
        <v/>
      </c>
      <c r="W4" s="672">
        <f>P4-G4</f>
        <v/>
      </c>
    </row>
    <row r="5">
      <c r="A5" s="239" t="inlineStr">
        <is>
          <t>301301</t>
        </is>
      </c>
      <c r="B5" s="670" t="n">
        <v>118875001</v>
      </c>
      <c r="C5" s="670" t="n">
        <v>0</v>
      </c>
      <c r="D5" s="670" t="n">
        <v>0</v>
      </c>
      <c r="E5" s="670" t="n">
        <v>0</v>
      </c>
      <c r="F5" s="670" t="n">
        <v>118875001</v>
      </c>
      <c r="G5" s="670" t="n">
        <v>0</v>
      </c>
      <c r="H5" s="274" t="n"/>
      <c r="J5" s="671" t="n"/>
      <c r="K5" s="274">
        <f>VLOOKUP($A5,[3]Sheet1!$A:$J,3,0)</f>
        <v/>
      </c>
      <c r="L5" s="274">
        <f>VLOOKUP($A5,[3]Sheet1!$A:$J,4,0)</f>
        <v/>
      </c>
      <c r="M5" s="274">
        <f>VLOOKUP($A5,[3]Sheet1!$A:$J,5,0)</f>
        <v/>
      </c>
      <c r="N5" s="274">
        <f>VLOOKUP($A5,[3]Sheet1!$A:$J,6,0)</f>
        <v/>
      </c>
      <c r="O5" s="274">
        <f>VLOOKUP($A5,[3]Sheet1!$A:$J,7,0)</f>
        <v/>
      </c>
      <c r="P5" s="274">
        <f>VLOOKUP($A5,[3]Sheet1!$A:$J,8,0)</f>
        <v/>
      </c>
      <c r="R5" s="672">
        <f>K5-B5</f>
        <v/>
      </c>
      <c r="S5" s="672">
        <f>L5-C5</f>
        <v/>
      </c>
      <c r="T5" s="672">
        <f>M5-D5</f>
        <v/>
      </c>
      <c r="U5" s="672">
        <f>N5-E5</f>
        <v/>
      </c>
      <c r="V5" s="672">
        <f>O5-F5</f>
        <v/>
      </c>
      <c r="W5" s="672">
        <f>P5-G5</f>
        <v/>
      </c>
    </row>
    <row r="6" s="373">
      <c r="A6" s="239" t="inlineStr">
        <is>
          <t>301401</t>
        </is>
      </c>
      <c r="B6" s="670" t="n">
        <v>2356156363</v>
      </c>
      <c r="C6" s="670" t="n">
        <v>0</v>
      </c>
      <c r="D6" s="670" t="n">
        <v>0</v>
      </c>
      <c r="E6" s="670" t="n">
        <v>0</v>
      </c>
      <c r="F6" s="670" t="n">
        <v>2356156363</v>
      </c>
      <c r="G6" s="670" t="n">
        <v>0</v>
      </c>
      <c r="H6" s="274" t="n"/>
      <c r="I6" s="364" t="n"/>
      <c r="J6" s="671" t="n"/>
      <c r="K6" s="274">
        <f>VLOOKUP($A6,[3]Sheet1!$A:$J,3,0)</f>
        <v/>
      </c>
      <c r="L6" s="274">
        <f>VLOOKUP($A6,[3]Sheet1!$A:$J,4,0)</f>
        <v/>
      </c>
      <c r="M6" s="274">
        <f>VLOOKUP($A6,[3]Sheet1!$A:$J,5,0)</f>
        <v/>
      </c>
      <c r="N6" s="274">
        <f>VLOOKUP($A6,[3]Sheet1!$A:$J,6,0)</f>
        <v/>
      </c>
      <c r="O6" s="274">
        <f>VLOOKUP($A6,[3]Sheet1!$A:$J,7,0)</f>
        <v/>
      </c>
      <c r="P6" s="274">
        <f>VLOOKUP($A6,[3]Sheet1!$A:$J,8,0)</f>
        <v/>
      </c>
      <c r="Q6" s="364" t="n"/>
      <c r="R6" s="672">
        <f>K6-B6</f>
        <v/>
      </c>
      <c r="S6" s="672">
        <f>L6-C6</f>
        <v/>
      </c>
      <c r="T6" s="672">
        <f>M6-D6</f>
        <v/>
      </c>
      <c r="U6" s="672">
        <f>N6-E6</f>
        <v/>
      </c>
      <c r="V6" s="672">
        <f>O6-F6</f>
        <v/>
      </c>
      <c r="W6" s="672">
        <f>P6-G6</f>
        <v/>
      </c>
      <c r="X6" s="332" t="n"/>
      <c r="Y6" s="332" t="n"/>
      <c r="Z6" s="332" t="n"/>
      <c r="AA6" s="332" t="n"/>
      <c r="AB6" s="332" t="n"/>
      <c r="AC6" s="332" t="n"/>
      <c r="AD6" s="332" t="n"/>
      <c r="AE6" s="332" t="n"/>
      <c r="AF6" s="332" t="n"/>
      <c r="AG6" s="332" t="n"/>
      <c r="AH6" s="332" t="n"/>
      <c r="AI6" s="332" t="n"/>
      <c r="AJ6" s="332" t="n"/>
      <c r="AK6" s="332" t="n"/>
    </row>
    <row r="7" s="373">
      <c r="A7" s="239" t="inlineStr">
        <is>
          <t>301501</t>
        </is>
      </c>
      <c r="B7" s="670" t="n">
        <v>232918182</v>
      </c>
      <c r="C7" s="670" t="n">
        <v>0</v>
      </c>
      <c r="D7" s="670" t="n">
        <v>0</v>
      </c>
      <c r="E7" s="670" t="n">
        <v>32718182</v>
      </c>
      <c r="F7" s="670" t="n">
        <v>200200000</v>
      </c>
      <c r="G7" s="670" t="n">
        <v>0</v>
      </c>
      <c r="H7" s="274" t="n"/>
      <c r="I7" s="364" t="n"/>
      <c r="J7" s="671" t="n"/>
      <c r="K7" s="274">
        <f>VLOOKUP($A7,[3]Sheet1!$A:$J,3,0)</f>
        <v/>
      </c>
      <c r="L7" s="274">
        <f>VLOOKUP($A7,[3]Sheet1!$A:$J,4,0)</f>
        <v/>
      </c>
      <c r="M7" s="274">
        <f>VLOOKUP($A7,[3]Sheet1!$A:$J,5,0)</f>
        <v/>
      </c>
      <c r="N7" s="274">
        <f>VLOOKUP($A7,[3]Sheet1!$A:$J,6,0)</f>
        <v/>
      </c>
      <c r="O7" s="274">
        <f>VLOOKUP($A7,[3]Sheet1!$A:$J,7,0)</f>
        <v/>
      </c>
      <c r="P7" s="274">
        <f>VLOOKUP($A7,[3]Sheet1!$A:$J,8,0)</f>
        <v/>
      </c>
      <c r="Q7" s="364" t="n"/>
      <c r="R7" s="672">
        <f>K7-B7</f>
        <v/>
      </c>
      <c r="S7" s="672">
        <f>L7-C7</f>
        <v/>
      </c>
      <c r="T7" s="672">
        <f>M7-D7</f>
        <v/>
      </c>
      <c r="U7" s="672">
        <f>N7-E7</f>
        <v/>
      </c>
      <c r="V7" s="672">
        <f>O7-F7</f>
        <v/>
      </c>
      <c r="W7" s="672">
        <f>P7-G7</f>
        <v/>
      </c>
      <c r="X7" s="332" t="n"/>
      <c r="Y7" s="332" t="n"/>
      <c r="Z7" s="332" t="n"/>
      <c r="AA7" s="332" t="n"/>
      <c r="AB7" s="332" t="n"/>
      <c r="AC7" s="332" t="n"/>
      <c r="AD7" s="332" t="n"/>
      <c r="AE7" s="332" t="n"/>
      <c r="AF7" s="332" t="n"/>
      <c r="AG7" s="332" t="n"/>
      <c r="AH7" s="332" t="n"/>
      <c r="AI7" s="332" t="n"/>
      <c r="AJ7" s="332" t="n"/>
      <c r="AK7" s="332" t="n"/>
    </row>
    <row r="8" s="373">
      <c r="A8" s="239" t="inlineStr">
        <is>
          <t>301902</t>
        </is>
      </c>
      <c r="B8" s="670" t="n">
        <v>70120000</v>
      </c>
      <c r="C8" s="670" t="n">
        <v>0</v>
      </c>
      <c r="D8" s="670" t="n">
        <v>0</v>
      </c>
      <c r="E8" s="670" t="n">
        <v>70120000</v>
      </c>
      <c r="F8" s="670" t="n">
        <v>0</v>
      </c>
      <c r="G8" s="670" t="n">
        <v>0</v>
      </c>
      <c r="H8" s="274" t="n"/>
      <c r="I8" s="364" t="n"/>
      <c r="J8" s="671" t="n"/>
      <c r="K8" s="274">
        <f>VLOOKUP($A8,[3]Sheet1!$A:$J,3,0)</f>
        <v/>
      </c>
      <c r="L8" s="274">
        <f>VLOOKUP($A8,[3]Sheet1!$A:$J,4,0)</f>
        <v/>
      </c>
      <c r="M8" s="274">
        <f>VLOOKUP($A8,[3]Sheet1!$A:$J,5,0)</f>
        <v/>
      </c>
      <c r="N8" s="274">
        <f>VLOOKUP($A8,[3]Sheet1!$A:$J,6,0)</f>
        <v/>
      </c>
      <c r="O8" s="274">
        <f>VLOOKUP($A8,[3]Sheet1!$A:$J,7,0)</f>
        <v/>
      </c>
      <c r="P8" s="274">
        <f>VLOOKUP($A8,[3]Sheet1!$A:$J,8,0)</f>
        <v/>
      </c>
      <c r="Q8" s="364" t="n"/>
      <c r="R8" s="672">
        <f>K8-B8</f>
        <v/>
      </c>
      <c r="S8" s="672">
        <f>L8-C8</f>
        <v/>
      </c>
      <c r="T8" s="672">
        <f>M8-D8</f>
        <v/>
      </c>
      <c r="U8" s="672">
        <f>N8-E8</f>
        <v/>
      </c>
      <c r="V8" s="672">
        <f>O8-F8</f>
        <v/>
      </c>
      <c r="W8" s="672">
        <f>P8-G8</f>
        <v/>
      </c>
      <c r="X8" s="332" t="n"/>
      <c r="Y8" s="332" t="n"/>
      <c r="Z8" s="332" t="n"/>
      <c r="AA8" s="332" t="n"/>
      <c r="AB8" s="332" t="n"/>
      <c r="AC8" s="332" t="n"/>
      <c r="AD8" s="332" t="n"/>
      <c r="AE8" s="332" t="n"/>
      <c r="AF8" s="332" t="n"/>
      <c r="AG8" s="332" t="n"/>
      <c r="AH8" s="332" t="n"/>
      <c r="AI8" s="332" t="n"/>
      <c r="AJ8" s="332" t="n"/>
      <c r="AK8" s="332" t="n"/>
    </row>
    <row r="9" s="373">
      <c r="A9" s="239" t="inlineStr">
        <is>
          <t>305101</t>
        </is>
      </c>
      <c r="B9" s="670" t="n">
        <v>0</v>
      </c>
      <c r="C9" s="670" t="n">
        <v>2454289467</v>
      </c>
      <c r="D9" s="670" t="n">
        <v>70120000</v>
      </c>
      <c r="E9" s="670" t="n">
        <v>5725755</v>
      </c>
      <c r="F9" s="670" t="n">
        <v>0</v>
      </c>
      <c r="G9" s="670" t="n">
        <v>2389895222</v>
      </c>
      <c r="H9" s="669" t="n">
        <v>13885.02</v>
      </c>
      <c r="I9" s="671" t="n">
        <v>44528683328</v>
      </c>
      <c r="J9" s="671" t="n"/>
      <c r="K9" s="274">
        <f>VLOOKUP($A9,[3]Sheet1!$A:$J,3,0)</f>
        <v/>
      </c>
      <c r="L9" s="274">
        <f>VLOOKUP($A9,[3]Sheet1!$A:$J,4,0)</f>
        <v/>
      </c>
      <c r="M9" s="274">
        <f>VLOOKUP($A9,[3]Sheet1!$A:$J,5,0)</f>
        <v/>
      </c>
      <c r="N9" s="274">
        <f>VLOOKUP($A9,[3]Sheet1!$A:$J,6,0)</f>
        <v/>
      </c>
      <c r="O9" s="274">
        <f>VLOOKUP($A9,[3]Sheet1!$A:$J,7,0)</f>
        <v/>
      </c>
      <c r="P9" s="274">
        <f>VLOOKUP($A9,[3]Sheet1!$A:$J,8,0)</f>
        <v/>
      </c>
      <c r="Q9" s="364" t="n"/>
      <c r="R9" s="672">
        <f>K9-B9</f>
        <v/>
      </c>
      <c r="S9" s="672">
        <f>L9-C9</f>
        <v/>
      </c>
      <c r="T9" s="672">
        <f>M9-D9</f>
        <v/>
      </c>
      <c r="U9" s="672">
        <f>N9-E9</f>
        <v/>
      </c>
      <c r="V9" s="672">
        <f>O9-F9</f>
        <v/>
      </c>
      <c r="W9" s="672">
        <f>P9-G9</f>
        <v/>
      </c>
      <c r="X9" s="332" t="n"/>
      <c r="Y9" s="332" t="n"/>
      <c r="Z9" s="332" t="n"/>
      <c r="AA9" s="332" t="n"/>
      <c r="AB9" s="332" t="n"/>
      <c r="AC9" s="332" t="n"/>
      <c r="AD9" s="332" t="n"/>
      <c r="AE9" s="332" t="n"/>
      <c r="AF9" s="332" t="n"/>
      <c r="AG9" s="332" t="n"/>
      <c r="AH9" s="332" t="n"/>
      <c r="AI9" s="332" t="n"/>
      <c r="AJ9" s="332" t="n"/>
      <c r="AK9" s="332" t="n"/>
    </row>
    <row r="10" s="373">
      <c r="A10" s="239" t="inlineStr">
        <is>
          <t>305102</t>
        </is>
      </c>
      <c r="B10" s="670" t="n">
        <v>0</v>
      </c>
      <c r="C10" s="670" t="n">
        <v>283084091</v>
      </c>
      <c r="D10" s="670" t="n">
        <v>32718182</v>
      </c>
      <c r="E10" s="670" t="n">
        <v>0</v>
      </c>
      <c r="F10" s="670" t="n">
        <v>0</v>
      </c>
      <c r="G10" s="670" t="n">
        <v>250365909</v>
      </c>
      <c r="H10" s="274" t="n"/>
      <c r="I10" s="364">
        <f>SUM(F5:F8)</f>
        <v/>
      </c>
      <c r="J10" s="671" t="n"/>
      <c r="K10" s="274">
        <f>VLOOKUP($A10,[3]Sheet1!$A:$J,3,0)</f>
        <v/>
      </c>
      <c r="L10" s="274">
        <f>VLOOKUP($A10,[3]Sheet1!$A:$J,4,0)</f>
        <v/>
      </c>
      <c r="M10" s="274">
        <f>VLOOKUP($A10,[3]Sheet1!$A:$J,5,0)</f>
        <v/>
      </c>
      <c r="N10" s="274">
        <f>VLOOKUP($A10,[3]Sheet1!$A:$J,6,0)</f>
        <v/>
      </c>
      <c r="O10" s="274">
        <f>VLOOKUP($A10,[3]Sheet1!$A:$J,7,0)</f>
        <v/>
      </c>
      <c r="P10" s="274">
        <f>VLOOKUP($A10,[3]Sheet1!$A:$J,8,0)</f>
        <v/>
      </c>
      <c r="Q10" s="364" t="n"/>
      <c r="R10" s="672">
        <f>K10-B10</f>
        <v/>
      </c>
      <c r="S10" s="672">
        <f>L10-C10</f>
        <v/>
      </c>
      <c r="T10" s="672">
        <f>M10-D10</f>
        <v/>
      </c>
      <c r="U10" s="672">
        <f>N10-E10</f>
        <v/>
      </c>
      <c r="V10" s="672">
        <f>O10-F10</f>
        <v/>
      </c>
      <c r="W10" s="672">
        <f>P10-G10</f>
        <v/>
      </c>
      <c r="X10" s="332" t="n"/>
      <c r="Y10" s="332" t="n"/>
      <c r="Z10" s="332" t="n"/>
      <c r="AA10" s="332" t="n"/>
      <c r="AB10" s="332" t="n"/>
      <c r="AC10" s="332" t="n"/>
      <c r="AD10" s="332" t="n"/>
      <c r="AE10" s="332" t="n"/>
      <c r="AF10" s="332" t="n"/>
      <c r="AG10" s="332" t="n"/>
      <c r="AH10" s="332" t="n"/>
      <c r="AI10" s="332" t="n"/>
      <c r="AJ10" s="332" t="n"/>
      <c r="AK10" s="332" t="n"/>
    </row>
    <row r="11" s="373">
      <c r="A11" s="239" t="inlineStr">
        <is>
          <t>311001</t>
        </is>
      </c>
      <c r="B11" s="670" t="n">
        <v>0</v>
      </c>
      <c r="C11" s="670" t="n">
        <v>0</v>
      </c>
      <c r="D11" s="670" t="n">
        <v>0</v>
      </c>
      <c r="E11" s="670" t="n">
        <v>0</v>
      </c>
      <c r="F11" s="670" t="n">
        <v>0</v>
      </c>
      <c r="G11" s="670" t="n">
        <v>0</v>
      </c>
      <c r="H11" s="274" t="n"/>
      <c r="I11" s="674" t="n"/>
      <c r="J11" s="671" t="n"/>
      <c r="K11" s="274" t="n"/>
      <c r="L11" s="274" t="n"/>
      <c r="M11" s="274" t="n"/>
      <c r="N11" s="274" t="n"/>
      <c r="O11" s="274" t="n"/>
      <c r="P11" s="274" t="n"/>
      <c r="Q11" s="364" t="n"/>
      <c r="R11" s="672">
        <f>K11-B11</f>
        <v/>
      </c>
      <c r="S11" s="672">
        <f>L11-C11</f>
        <v/>
      </c>
      <c r="T11" s="672">
        <f>M11-D11</f>
        <v/>
      </c>
      <c r="U11" s="672">
        <f>N11-E11</f>
        <v/>
      </c>
      <c r="V11" s="672">
        <f>O11-F11</f>
        <v/>
      </c>
      <c r="W11" s="672">
        <f>P11-G11</f>
        <v/>
      </c>
      <c r="X11" s="332" t="n"/>
      <c r="Y11" s="332" t="n"/>
      <c r="Z11" s="332" t="n"/>
      <c r="AA11" s="332" t="n"/>
      <c r="AB11" s="332" t="n"/>
      <c r="AC11" s="332" t="n"/>
      <c r="AD11" s="332" t="n"/>
      <c r="AE11" s="332" t="n"/>
      <c r="AF11" s="332" t="n"/>
      <c r="AG11" s="332" t="n"/>
      <c r="AH11" s="332" t="n"/>
      <c r="AI11" s="332" t="n"/>
      <c r="AJ11" s="332" t="n"/>
      <c r="AK11" s="332" t="n"/>
    </row>
    <row r="12" s="373">
      <c r="A12" s="239" t="inlineStr">
        <is>
          <t>313001</t>
        </is>
      </c>
      <c r="B12" s="670" t="n">
        <v>0</v>
      </c>
      <c r="C12" s="670" t="n">
        <v>0</v>
      </c>
      <c r="D12" s="670" t="n">
        <v>0</v>
      </c>
      <c r="E12" s="670" t="n">
        <v>0</v>
      </c>
      <c r="F12" s="670" t="n">
        <v>0</v>
      </c>
      <c r="G12" s="670" t="n">
        <v>0</v>
      </c>
      <c r="H12" s="274" t="n"/>
      <c r="I12" s="364" t="n"/>
      <c r="J12" s="671" t="n"/>
      <c r="K12" s="274" t="n"/>
      <c r="L12" s="274" t="n"/>
      <c r="M12" s="274" t="n"/>
      <c r="N12" s="274" t="n"/>
      <c r="O12" s="274" t="n"/>
      <c r="P12" s="274" t="n"/>
      <c r="Q12" s="364" t="n"/>
      <c r="R12" s="672">
        <f>K12-B12</f>
        <v/>
      </c>
      <c r="S12" s="672">
        <f>L12-C12</f>
        <v/>
      </c>
      <c r="T12" s="672">
        <f>M12-D12</f>
        <v/>
      </c>
      <c r="U12" s="672">
        <f>N12-E12</f>
        <v/>
      </c>
      <c r="V12" s="672">
        <f>O12-F12</f>
        <v/>
      </c>
      <c r="W12" s="672">
        <f>P12-G12</f>
        <v/>
      </c>
      <c r="X12" s="332" t="n"/>
      <c r="Y12" s="332" t="n"/>
      <c r="Z12" s="332" t="n"/>
      <c r="AA12" s="332" t="n"/>
      <c r="AB12" s="332" t="n"/>
      <c r="AC12" s="332" t="n"/>
      <c r="AD12" s="332" t="n"/>
      <c r="AE12" s="332" t="n"/>
      <c r="AF12" s="332" t="n"/>
      <c r="AG12" s="332" t="n"/>
      <c r="AH12" s="332" t="n"/>
      <c r="AI12" s="332" t="n"/>
      <c r="AJ12" s="332" t="n"/>
      <c r="AK12" s="332" t="n"/>
    </row>
    <row r="13" s="373">
      <c r="A13" s="239" t="inlineStr">
        <is>
          <t>351001</t>
        </is>
      </c>
      <c r="B13" s="670" t="n">
        <v>15000000</v>
      </c>
      <c r="C13" s="670" t="n">
        <v>0</v>
      </c>
      <c r="D13" s="670" t="n">
        <v>0</v>
      </c>
      <c r="E13" s="670" t="n">
        <v>0</v>
      </c>
      <c r="F13" s="670" t="n">
        <v>15000000</v>
      </c>
      <c r="G13" s="670" t="n">
        <v>0</v>
      </c>
      <c r="H13" s="274" t="n"/>
      <c r="I13" s="364" t="n"/>
      <c r="J13" s="671" t="n"/>
      <c r="K13" s="274">
        <f>VLOOKUP($A13,[3]Sheet1!$A:$J,3,0)</f>
        <v/>
      </c>
      <c r="L13" s="274">
        <f>VLOOKUP($A13,[3]Sheet1!$A:$J,4,0)</f>
        <v/>
      </c>
      <c r="M13" s="274">
        <f>VLOOKUP($A13,[3]Sheet1!$A:$J,5,0)</f>
        <v/>
      </c>
      <c r="N13" s="274">
        <f>VLOOKUP($A13,[3]Sheet1!$A:$J,6,0)</f>
        <v/>
      </c>
      <c r="O13" s="274">
        <f>VLOOKUP($A13,[3]Sheet1!$A:$J,7,0)</f>
        <v/>
      </c>
      <c r="P13" s="274">
        <f>VLOOKUP($A13,[3]Sheet1!$A:$J,8,0)</f>
        <v/>
      </c>
      <c r="Q13" s="364" t="n"/>
      <c r="R13" s="672">
        <f>K13-B13</f>
        <v/>
      </c>
      <c r="S13" s="672">
        <f>L13-C13</f>
        <v/>
      </c>
      <c r="T13" s="672">
        <f>M13-D13</f>
        <v/>
      </c>
      <c r="U13" s="672">
        <f>N13-E13</f>
        <v/>
      </c>
      <c r="V13" s="672">
        <f>O13-F13</f>
        <v/>
      </c>
      <c r="W13" s="672">
        <f>P13-G13</f>
        <v/>
      </c>
      <c r="X13" s="332" t="n"/>
      <c r="Y13" s="332" t="n"/>
      <c r="Z13" s="332" t="n"/>
      <c r="AA13" s="332" t="n"/>
      <c r="AB13" s="332" t="n"/>
      <c r="AC13" s="332" t="n"/>
      <c r="AD13" s="332" t="n"/>
      <c r="AE13" s="332" t="n"/>
      <c r="AF13" s="332" t="n"/>
      <c r="AG13" s="332" t="n"/>
      <c r="AH13" s="332" t="n"/>
      <c r="AI13" s="332" t="n"/>
      <c r="AJ13" s="332" t="n"/>
      <c r="AK13" s="332" t="n"/>
    </row>
    <row r="14" customFormat="1" s="364">
      <c r="A14" s="356" t="inlineStr">
        <is>
          <t>353202</t>
        </is>
      </c>
      <c r="B14" s="676" t="n">
        <v>0</v>
      </c>
      <c r="C14" s="676" t="n">
        <v>0</v>
      </c>
      <c r="D14" s="676" t="n">
        <v>286565983</v>
      </c>
      <c r="E14" s="676" t="n">
        <v>286565983</v>
      </c>
      <c r="F14" s="676" t="n">
        <v>0</v>
      </c>
      <c r="G14" s="676" t="n">
        <v>0</v>
      </c>
      <c r="H14" s="364" t="n"/>
      <c r="I14" s="364" t="n"/>
      <c r="J14" s="671" t="n"/>
      <c r="K14" s="274">
        <f>VLOOKUP($A14,[3]Sheet1!$A:$J,3,0)</f>
        <v/>
      </c>
      <c r="L14" s="274">
        <f>VLOOKUP($A14,[3]Sheet1!$A:$J,4,0)</f>
        <v/>
      </c>
      <c r="M14" s="274">
        <f>VLOOKUP($A14,[3]Sheet1!$A:$J,5,0)</f>
        <v/>
      </c>
      <c r="N14" s="274">
        <f>VLOOKUP($A14,[3]Sheet1!$A:$J,6,0)</f>
        <v/>
      </c>
      <c r="O14" s="274">
        <f>VLOOKUP($A14,[3]Sheet1!$A:$J,7,0)</f>
        <v/>
      </c>
      <c r="P14" s="274">
        <f>VLOOKUP($A14,[3]Sheet1!$A:$J,8,0)</f>
        <v/>
      </c>
      <c r="R14" s="674">
        <f>K14-B14</f>
        <v/>
      </c>
      <c r="S14" s="674">
        <f>L14-C14</f>
        <v/>
      </c>
      <c r="T14" s="674">
        <f>M14-D14</f>
        <v/>
      </c>
      <c r="U14" s="674">
        <f>N14-E14</f>
        <v/>
      </c>
      <c r="V14" s="674">
        <f>O14-F14</f>
        <v/>
      </c>
      <c r="W14" s="674">
        <f>P14-G14</f>
        <v/>
      </c>
    </row>
    <row r="15" s="373">
      <c r="A15" s="239" t="inlineStr">
        <is>
          <t>359299</t>
        </is>
      </c>
      <c r="B15" s="670" t="n">
        <v>37683655715</v>
      </c>
      <c r="C15" s="670" t="n">
        <v>0</v>
      </c>
      <c r="D15" s="670" t="n">
        <v>1552255225911</v>
      </c>
      <c r="E15" s="673">
        <f>1561472090459+'But toan can tru'!D27+'But toan can tru'!D7</f>
        <v/>
      </c>
      <c r="F15" s="673">
        <f>28466791167-'But toan can tru'!D25-'But toan can tru'!D7</f>
        <v/>
      </c>
      <c r="G15" s="670" t="n">
        <v>0</v>
      </c>
      <c r="H15" s="672" t="inlineStr">
        <is>
          <t>Cấn trừ</t>
        </is>
      </c>
      <c r="I15" s="674">
        <f>B15-E15+D15-F15</f>
        <v/>
      </c>
      <c r="J15" s="671" t="n"/>
      <c r="K15" s="274">
        <f>VLOOKUP($A15,[3]Sheet1!$A:$J,3,0)</f>
        <v/>
      </c>
      <c r="L15" s="274">
        <f>VLOOKUP($A15,[3]Sheet1!$A:$J,4,0)</f>
        <v/>
      </c>
      <c r="M15" s="274">
        <f>VLOOKUP($A15,[3]Sheet1!$A:$J,5,0)</f>
        <v/>
      </c>
      <c r="N15" s="274">
        <f>VLOOKUP($A15,[3]Sheet1!$A:$J,6,0)</f>
        <v/>
      </c>
      <c r="O15" s="274">
        <f>VLOOKUP($A15,[3]Sheet1!$A:$J,7,0)</f>
        <v/>
      </c>
      <c r="P15" s="274">
        <f>VLOOKUP($A15,[3]Sheet1!$A:$J,8,0)</f>
        <v/>
      </c>
      <c r="Q15" s="364" t="n"/>
      <c r="R15" s="672">
        <f>K15-B15</f>
        <v/>
      </c>
      <c r="S15" s="672">
        <f>L15-C15</f>
        <v/>
      </c>
      <c r="T15" s="672">
        <f>M15-D15</f>
        <v/>
      </c>
      <c r="U15" s="672">
        <f>N15-E15</f>
        <v/>
      </c>
      <c r="V15" s="672">
        <f>O15-F15</f>
        <v/>
      </c>
      <c r="W15" s="672">
        <f>P15-G15</f>
        <v/>
      </c>
      <c r="X15" s="332" t="n"/>
      <c r="Y15" s="332" t="n"/>
      <c r="Z15" s="332" t="n"/>
      <c r="AA15" s="332" t="n"/>
      <c r="AB15" s="332" t="n"/>
      <c r="AC15" s="332" t="n"/>
      <c r="AD15" s="332" t="n"/>
      <c r="AE15" s="332" t="n"/>
      <c r="AF15" s="332" t="n"/>
      <c r="AG15" s="332" t="n"/>
      <c r="AH15" s="332" t="n"/>
      <c r="AI15" s="332" t="n"/>
      <c r="AJ15" s="332" t="n"/>
      <c r="AK15" s="332" t="n"/>
    </row>
    <row r="16" s="373">
      <c r="A16" s="239" t="inlineStr">
        <is>
          <t>361207</t>
        </is>
      </c>
      <c r="B16" s="670" t="n">
        <v>0</v>
      </c>
      <c r="C16" s="670" t="n">
        <v>0</v>
      </c>
      <c r="D16" s="670" t="n">
        <v>0</v>
      </c>
      <c r="E16" s="670" t="n">
        <v>0</v>
      </c>
      <c r="F16" s="670" t="n">
        <v>0</v>
      </c>
      <c r="G16" s="670" t="n">
        <v>0</v>
      </c>
      <c r="H16" s="675" t="n"/>
      <c r="I16" s="364" t="n"/>
      <c r="J16" s="671" t="n"/>
      <c r="K16" s="274" t="n"/>
      <c r="L16" s="274" t="n"/>
      <c r="M16" s="274" t="n"/>
      <c r="N16" s="274" t="n"/>
      <c r="O16" s="274" t="n"/>
      <c r="P16" s="274" t="n"/>
      <c r="Q16" s="364" t="n"/>
      <c r="R16" s="672">
        <f>K16-B16</f>
        <v/>
      </c>
      <c r="S16" s="672">
        <f>L16-C16</f>
        <v/>
      </c>
      <c r="T16" s="672">
        <f>M16-D16</f>
        <v/>
      </c>
      <c r="U16" s="672">
        <f>N16-E16</f>
        <v/>
      </c>
      <c r="V16" s="672">
        <f>O16-F16</f>
        <v/>
      </c>
      <c r="W16" s="672">
        <f>P16-G16</f>
        <v/>
      </c>
      <c r="X16" s="332" t="n"/>
      <c r="Y16" s="332" t="n"/>
      <c r="Z16" s="332" t="n"/>
      <c r="AA16" s="332" t="n"/>
      <c r="AB16" s="332" t="n"/>
      <c r="AC16" s="332" t="n"/>
      <c r="AD16" s="332" t="n"/>
      <c r="AE16" s="332" t="n"/>
      <c r="AF16" s="332" t="n"/>
      <c r="AG16" s="332" t="n"/>
      <c r="AH16" s="332" t="n"/>
      <c r="AI16" s="332" t="n"/>
      <c r="AJ16" s="332" t="n"/>
      <c r="AK16" s="332" t="n"/>
    </row>
    <row r="17" s="373">
      <c r="A17" s="239" t="inlineStr">
        <is>
          <t>361299</t>
        </is>
      </c>
      <c r="B17" s="670" t="n">
        <v>0</v>
      </c>
      <c r="C17" s="670" t="n">
        <v>0</v>
      </c>
      <c r="D17" s="670" t="n">
        <v>27000000</v>
      </c>
      <c r="E17" s="670" t="n">
        <v>27000000</v>
      </c>
      <c r="F17" s="670" t="n">
        <v>0</v>
      </c>
      <c r="G17" s="670" t="n">
        <v>0</v>
      </c>
      <c r="H17" s="274" t="n"/>
      <c r="I17" s="364" t="n"/>
      <c r="J17" s="671" t="n"/>
      <c r="K17" s="274">
        <f>VLOOKUP($A17,[3]Sheet1!$A:$J,3,0)</f>
        <v/>
      </c>
      <c r="L17" s="274">
        <f>VLOOKUP($A17,[3]Sheet1!$A:$J,4,0)</f>
        <v/>
      </c>
      <c r="M17" s="274">
        <f>VLOOKUP($A17,[3]Sheet1!$A:$J,5,0)</f>
        <v/>
      </c>
      <c r="N17" s="274">
        <f>VLOOKUP($A17,[3]Sheet1!$A:$J,6,0)</f>
        <v/>
      </c>
      <c r="O17" s="274">
        <f>VLOOKUP($A17,[3]Sheet1!$A:$J,7,0)</f>
        <v/>
      </c>
      <c r="P17" s="274">
        <f>VLOOKUP($A17,[3]Sheet1!$A:$J,8,0)</f>
        <v/>
      </c>
      <c r="Q17" s="364" t="n"/>
      <c r="R17" s="672">
        <f>K17-B17</f>
        <v/>
      </c>
      <c r="S17" s="672">
        <f>L17-C17</f>
        <v/>
      </c>
      <c r="T17" s="672">
        <f>M17-D17</f>
        <v/>
      </c>
      <c r="U17" s="672">
        <f>N17-E17</f>
        <v/>
      </c>
      <c r="V17" s="672">
        <f>O17-F17</f>
        <v/>
      </c>
      <c r="W17" s="672">
        <f>P17-G17</f>
        <v/>
      </c>
      <c r="X17" s="332" t="n"/>
      <c r="Y17" s="332" t="n"/>
      <c r="Z17" s="332" t="n"/>
      <c r="AA17" s="332" t="n"/>
      <c r="AB17" s="332" t="n"/>
      <c r="AC17" s="332" t="n"/>
      <c r="AD17" s="332" t="n"/>
      <c r="AE17" s="332" t="n"/>
      <c r="AF17" s="332" t="n"/>
      <c r="AG17" s="332" t="n"/>
      <c r="AH17" s="332" t="n"/>
      <c r="AI17" s="332" t="n"/>
      <c r="AJ17" s="332" t="n"/>
      <c r="AK17" s="332" t="n"/>
    </row>
    <row r="18" s="373">
      <c r="A18" s="239" t="inlineStr">
        <is>
          <t>361301</t>
        </is>
      </c>
      <c r="B18" s="670" t="n">
        <v>0</v>
      </c>
      <c r="C18" s="670" t="n">
        <v>0</v>
      </c>
      <c r="D18" s="670" t="n">
        <v>0</v>
      </c>
      <c r="E18" s="670" t="n">
        <v>0</v>
      </c>
      <c r="F18" s="670" t="n">
        <v>0</v>
      </c>
      <c r="G18" s="670" t="n">
        <v>0</v>
      </c>
      <c r="H18" s="274" t="n"/>
      <c r="I18" s="364" t="n"/>
      <c r="J18" s="671" t="n"/>
      <c r="K18" s="274" t="n"/>
      <c r="L18" s="274" t="n"/>
      <c r="M18" s="274" t="n"/>
      <c r="N18" s="274" t="n"/>
      <c r="O18" s="274" t="n"/>
      <c r="P18" s="274" t="n"/>
      <c r="Q18" s="364" t="n"/>
      <c r="R18" s="672">
        <f>K18-B18</f>
        <v/>
      </c>
      <c r="S18" s="672">
        <f>L18-C18</f>
        <v/>
      </c>
      <c r="T18" s="672">
        <f>M18-D18</f>
        <v/>
      </c>
      <c r="U18" s="672">
        <f>N18-E18</f>
        <v/>
      </c>
      <c r="V18" s="672">
        <f>O18-F18</f>
        <v/>
      </c>
      <c r="W18" s="672">
        <f>P18-G18</f>
        <v/>
      </c>
      <c r="X18" s="332" t="n"/>
      <c r="Y18" s="332" t="n"/>
      <c r="Z18" s="332" t="n"/>
      <c r="AA18" s="332" t="n"/>
      <c r="AB18" s="332" t="n"/>
      <c r="AC18" s="332" t="n"/>
      <c r="AD18" s="332" t="n"/>
      <c r="AE18" s="332" t="n"/>
      <c r="AF18" s="332" t="n"/>
      <c r="AG18" s="332" t="n"/>
      <c r="AH18" s="332" t="n"/>
      <c r="AI18" s="332" t="n"/>
      <c r="AJ18" s="332" t="n"/>
      <c r="AK18" s="332" t="n"/>
    </row>
    <row r="19" s="373">
      <c r="A19" s="239" t="inlineStr">
        <is>
          <t>388009</t>
        </is>
      </c>
      <c r="B19" s="670" t="n">
        <v>234576000</v>
      </c>
      <c r="C19" s="670" t="n">
        <v>0</v>
      </c>
      <c r="D19" s="670" t="n">
        <v>0</v>
      </c>
      <c r="E19" s="670" t="n">
        <v>175932000</v>
      </c>
      <c r="F19" s="670" t="n">
        <v>58644000</v>
      </c>
      <c r="G19" s="670" t="n">
        <v>0</v>
      </c>
      <c r="H19" s="274" t="n"/>
      <c r="I19" s="364" t="n"/>
      <c r="J19" s="671" t="n"/>
      <c r="K19" s="274">
        <f>VLOOKUP($A19,[3]Sheet1!$A:$J,3,0)</f>
        <v/>
      </c>
      <c r="L19" s="274">
        <f>VLOOKUP($A19,[3]Sheet1!$A:$J,4,0)</f>
        <v/>
      </c>
      <c r="M19" s="274">
        <f>VLOOKUP($A19,[3]Sheet1!$A:$J,5,0)</f>
        <v/>
      </c>
      <c r="N19" s="274">
        <f>VLOOKUP($A19,[3]Sheet1!$A:$J,6,0)</f>
        <v/>
      </c>
      <c r="O19" s="274">
        <f>VLOOKUP($A19,[3]Sheet1!$A:$J,7,0)</f>
        <v/>
      </c>
      <c r="P19" s="274">
        <f>VLOOKUP($A19,[3]Sheet1!$A:$J,8,0)</f>
        <v/>
      </c>
      <c r="Q19" s="364" t="n"/>
      <c r="R19" s="672">
        <f>K19-B19</f>
        <v/>
      </c>
      <c r="S19" s="672">
        <f>L19-C19</f>
        <v/>
      </c>
      <c r="T19" s="672">
        <f>M19-D19</f>
        <v/>
      </c>
      <c r="U19" s="672">
        <f>N19-E19</f>
        <v/>
      </c>
      <c r="V19" s="672">
        <f>O19-F19</f>
        <v/>
      </c>
      <c r="W19" s="672">
        <f>P19-G19</f>
        <v/>
      </c>
      <c r="X19" s="332" t="n"/>
      <c r="Y19" s="332" t="n"/>
      <c r="Z19" s="332" t="n"/>
      <c r="AA19" s="332" t="n"/>
      <c r="AB19" s="332" t="n"/>
      <c r="AC19" s="332" t="n"/>
      <c r="AD19" s="332" t="n"/>
      <c r="AE19" s="332" t="n"/>
      <c r="AF19" s="332" t="n"/>
      <c r="AG19" s="332" t="n"/>
      <c r="AH19" s="332" t="n"/>
      <c r="AI19" s="332" t="n"/>
      <c r="AJ19" s="332" t="n"/>
      <c r="AK19" s="332" t="n"/>
    </row>
    <row r="20" customFormat="1" s="411">
      <c r="A20" s="412" t="inlineStr">
        <is>
          <t>391</t>
        </is>
      </c>
      <c r="B20" s="677" t="n">
        <v>1590082190</v>
      </c>
      <c r="C20" s="677" t="n">
        <v>0</v>
      </c>
      <c r="D20" s="677" t="n">
        <v>671024661</v>
      </c>
      <c r="E20" s="677" t="n">
        <v>1225983562</v>
      </c>
      <c r="F20" s="677" t="n">
        <v>1035123289</v>
      </c>
      <c r="G20" s="677" t="n">
        <v>0</v>
      </c>
      <c r="H20" s="406" t="n"/>
      <c r="I20" s="674">
        <f>B20+D20-E20-F20</f>
        <v/>
      </c>
      <c r="J20" s="678" t="n"/>
      <c r="K20" s="406">
        <f>VLOOKUP($A20,[3]Sheet1!$A:$J,3,0)</f>
        <v/>
      </c>
      <c r="L20" s="406">
        <f>VLOOKUP($A20,[3]Sheet1!$A:$J,4,0)</f>
        <v/>
      </c>
      <c r="M20" s="406">
        <f>VLOOKUP($A20,[3]Sheet1!$A:$J,5,0)</f>
        <v/>
      </c>
      <c r="N20" s="406">
        <f>VLOOKUP($A20,[3]Sheet1!$A:$J,6,0)</f>
        <v/>
      </c>
      <c r="O20" s="406">
        <f>VLOOKUP($A20,[3]Sheet1!$A:$J,7,0)</f>
        <v/>
      </c>
      <c r="P20" s="406">
        <f>VLOOKUP($A20,[3]Sheet1!$A:$J,8,0)</f>
        <v/>
      </c>
      <c r="Q20" s="408" t="n"/>
      <c r="R20" s="679">
        <f>K20-B20</f>
        <v/>
      </c>
      <c r="S20" s="679">
        <f>L20-C20</f>
        <v/>
      </c>
      <c r="T20" s="679">
        <f>M20-D20</f>
        <v/>
      </c>
      <c r="U20" s="679">
        <f>N20-E20</f>
        <v/>
      </c>
      <c r="V20" s="679">
        <f>O20-F20</f>
        <v/>
      </c>
      <c r="W20" s="679">
        <f>P20-G20</f>
        <v/>
      </c>
      <c r="X20" s="410" t="n"/>
      <c r="Y20" s="410" t="n"/>
      <c r="Z20" s="410" t="n"/>
      <c r="AA20" s="410" t="n"/>
      <c r="AB20" s="410" t="n"/>
      <c r="AC20" s="410" t="n"/>
      <c r="AD20" s="410" t="n"/>
      <c r="AE20" s="410" t="n"/>
      <c r="AF20" s="410" t="n"/>
      <c r="AG20" s="410" t="n"/>
      <c r="AH20" s="410" t="n"/>
      <c r="AI20" s="410" t="n"/>
      <c r="AJ20" s="410" t="n"/>
      <c r="AK20" s="410" t="n"/>
    </row>
    <row r="21" customFormat="1" s="411">
      <c r="A21" s="404" t="inlineStr">
        <is>
          <t>397001</t>
        </is>
      </c>
      <c r="B21" s="677" t="n">
        <v>2773205015</v>
      </c>
      <c r="C21" s="677" t="n">
        <v>0</v>
      </c>
      <c r="D21" s="677" t="n">
        <v>8240055269</v>
      </c>
      <c r="E21" s="677" t="n">
        <v>8309975995</v>
      </c>
      <c r="F21" s="677" t="n">
        <v>2703284289</v>
      </c>
      <c r="G21" s="677" t="n"/>
      <c r="H21" s="406" t="n"/>
      <c r="I21" s="674">
        <f>B21+D21-E21-F21</f>
        <v/>
      </c>
      <c r="J21" s="678" t="n"/>
      <c r="K21" s="406" t="n"/>
      <c r="L21" s="406" t="n"/>
      <c r="M21" s="406" t="n"/>
      <c r="N21" s="406" t="n"/>
      <c r="O21" s="406" t="n"/>
      <c r="P21" s="406" t="n"/>
      <c r="Q21" s="408" t="n"/>
      <c r="R21" s="679" t="n"/>
      <c r="S21" s="679" t="n"/>
      <c r="T21" s="679" t="n"/>
      <c r="U21" s="679" t="n"/>
      <c r="V21" s="679" t="n"/>
      <c r="W21" s="679" t="n"/>
      <c r="X21" s="410" t="n"/>
      <c r="Y21" s="410" t="n"/>
      <c r="Z21" s="410" t="n"/>
      <c r="AA21" s="410" t="n"/>
      <c r="AB21" s="410" t="n"/>
      <c r="AC21" s="410" t="n"/>
      <c r="AD21" s="410" t="n"/>
      <c r="AE21" s="410" t="n"/>
      <c r="AF21" s="410" t="n"/>
      <c r="AG21" s="410" t="n"/>
      <c r="AH21" s="410" t="n"/>
      <c r="AI21" s="410" t="n"/>
      <c r="AJ21" s="410" t="n"/>
      <c r="AK21" s="410" t="n"/>
    </row>
    <row r="22" s="373">
      <c r="A22" s="239" t="inlineStr">
        <is>
          <t>427909</t>
        </is>
      </c>
      <c r="B22" s="670" t="n">
        <v>0</v>
      </c>
      <c r="C22" s="670" t="n">
        <v>0</v>
      </c>
      <c r="D22" s="670" t="n">
        <v>21723240</v>
      </c>
      <c r="E22" s="670" t="n">
        <v>21723240</v>
      </c>
      <c r="F22" s="670" t="n">
        <v>0</v>
      </c>
      <c r="G22" s="670" t="n">
        <v>0</v>
      </c>
      <c r="H22" s="274" t="n"/>
      <c r="I22" s="364" t="n"/>
      <c r="J22" s="671" t="n"/>
      <c r="K22" s="274">
        <f>VLOOKUP($A22,[3]Sheet1!$A:$J,3,0)</f>
        <v/>
      </c>
      <c r="L22" s="274">
        <f>VLOOKUP($A22,[3]Sheet1!$A:$J,4,0)</f>
        <v/>
      </c>
      <c r="M22" s="274">
        <f>VLOOKUP($A22,[3]Sheet1!$A:$J,5,0)</f>
        <v/>
      </c>
      <c r="N22" s="274">
        <f>VLOOKUP($A22,[3]Sheet1!$A:$J,6,0)</f>
        <v/>
      </c>
      <c r="O22" s="274">
        <f>VLOOKUP($A22,[3]Sheet1!$A:$J,7,0)</f>
        <v/>
      </c>
      <c r="P22" s="274">
        <f>VLOOKUP($A22,[3]Sheet1!$A:$J,8,0)</f>
        <v/>
      </c>
      <c r="Q22" s="364" t="n"/>
      <c r="R22" s="672">
        <f>K22-B22</f>
        <v/>
      </c>
      <c r="S22" s="672">
        <f>L22-C22</f>
        <v/>
      </c>
      <c r="T22" s="672">
        <f>M22-D22</f>
        <v/>
      </c>
      <c r="U22" s="672">
        <f>N22-E22</f>
        <v/>
      </c>
      <c r="V22" s="672">
        <f>O22-F22</f>
        <v/>
      </c>
      <c r="W22" s="672">
        <f>P22-G22</f>
        <v/>
      </c>
      <c r="X22" s="332" t="n"/>
      <c r="Y22" s="332" t="n"/>
      <c r="Z22" s="332" t="n"/>
      <c r="AA22" s="332" t="n"/>
      <c r="AB22" s="332" t="n"/>
      <c r="AC22" s="332" t="n"/>
      <c r="AD22" s="332" t="n"/>
      <c r="AE22" s="332" t="n"/>
      <c r="AF22" s="332" t="n"/>
      <c r="AG22" s="332" t="n"/>
      <c r="AH22" s="332" t="n"/>
      <c r="AI22" s="332" t="n"/>
      <c r="AJ22" s="332" t="n"/>
      <c r="AK22" s="332" t="n"/>
    </row>
    <row r="23" customFormat="1" s="364">
      <c r="A23" s="356" t="inlineStr">
        <is>
          <t>453101</t>
        </is>
      </c>
      <c r="B23" s="676" t="n">
        <v>0</v>
      </c>
      <c r="C23" s="676" t="n">
        <v>327740170</v>
      </c>
      <c r="D23" s="676" t="n">
        <v>1211085768</v>
      </c>
      <c r="E23" s="676" t="n">
        <v>1216547100</v>
      </c>
      <c r="F23" s="676" t="n">
        <v>0</v>
      </c>
      <c r="G23" s="676" t="n">
        <v>333201502</v>
      </c>
      <c r="H23" s="364" t="n"/>
      <c r="I23" s="364" t="n"/>
      <c r="J23" s="671" t="n"/>
      <c r="K23" s="274">
        <f>VLOOKUP($A23,[3]Sheet1!$A:$J,3,0)</f>
        <v/>
      </c>
      <c r="L23" s="274">
        <f>VLOOKUP($A23,[3]Sheet1!$A:$J,4,0)</f>
        <v/>
      </c>
      <c r="M23" s="274">
        <f>VLOOKUP($A23,[3]Sheet1!$A:$J,5,0)</f>
        <v/>
      </c>
      <c r="N23" s="274">
        <f>VLOOKUP($A23,[3]Sheet1!$A:$J,6,0)</f>
        <v/>
      </c>
      <c r="O23" s="274">
        <f>VLOOKUP($A23,[3]Sheet1!$A:$J,7,0)</f>
        <v/>
      </c>
      <c r="P23" s="274">
        <f>VLOOKUP($A23,[3]Sheet1!$A:$J,8,0)</f>
        <v/>
      </c>
      <c r="R23" s="674">
        <f>K23-B23</f>
        <v/>
      </c>
      <c r="S23" s="674">
        <f>L23-C23</f>
        <v/>
      </c>
      <c r="T23" s="674">
        <f>M23-D23</f>
        <v/>
      </c>
      <c r="U23" s="674">
        <f>N23-E23</f>
        <v/>
      </c>
      <c r="V23" s="674">
        <f>O23-F23</f>
        <v/>
      </c>
      <c r="W23" s="674">
        <f>P23-G23</f>
        <v/>
      </c>
    </row>
    <row r="24" s="373">
      <c r="A24" s="239" t="inlineStr">
        <is>
          <t>453401</t>
        </is>
      </c>
      <c r="B24" s="670" t="n">
        <v>0</v>
      </c>
      <c r="C24" s="670" t="n">
        <v>1699375943</v>
      </c>
      <c r="D24" s="670" t="n">
        <v>1699375943</v>
      </c>
      <c r="E24" s="670" t="n">
        <v>778687531</v>
      </c>
      <c r="F24" s="670" t="n">
        <v>0</v>
      </c>
      <c r="G24" s="670" t="n">
        <v>778687531</v>
      </c>
      <c r="H24" s="274" t="n"/>
      <c r="I24" s="364" t="n"/>
      <c r="J24" s="671" t="n"/>
      <c r="K24" s="274">
        <f>VLOOKUP($A24,[3]Sheet1!$A:$J,3,0)</f>
        <v/>
      </c>
      <c r="L24" s="274">
        <f>VLOOKUP($A24,[3]Sheet1!$A:$J,4,0)</f>
        <v/>
      </c>
      <c r="M24" s="274">
        <f>VLOOKUP($A24,[3]Sheet1!$A:$J,5,0)</f>
        <v/>
      </c>
      <c r="N24" s="274">
        <f>VLOOKUP($A24,[3]Sheet1!$A:$J,6,0)</f>
        <v/>
      </c>
      <c r="O24" s="274">
        <f>VLOOKUP($A24,[3]Sheet1!$A:$J,7,0)</f>
        <v/>
      </c>
      <c r="P24" s="274">
        <f>VLOOKUP($A24,[3]Sheet1!$A:$J,8,0)</f>
        <v/>
      </c>
      <c r="Q24" s="364" t="n"/>
      <c r="R24" s="672">
        <f>K24-B24</f>
        <v/>
      </c>
      <c r="S24" s="672">
        <f>L24-C24</f>
        <v/>
      </c>
      <c r="T24" s="672">
        <f>M24-D24</f>
        <v/>
      </c>
      <c r="U24" s="672">
        <f>N24-E24</f>
        <v/>
      </c>
      <c r="V24" s="672">
        <f>O24-F24</f>
        <v/>
      </c>
      <c r="W24" s="672">
        <f>P24-G24</f>
        <v/>
      </c>
      <c r="X24" s="332" t="n"/>
      <c r="Y24" s="332" t="n"/>
      <c r="Z24" s="332" t="n"/>
      <c r="AA24" s="332" t="n"/>
      <c r="AB24" s="332" t="n"/>
      <c r="AC24" s="332" t="n"/>
      <c r="AD24" s="332" t="n"/>
      <c r="AE24" s="332" t="n"/>
      <c r="AF24" s="332" t="n"/>
      <c r="AG24" s="332" t="n"/>
      <c r="AH24" s="332" t="n"/>
      <c r="AI24" s="332" t="n"/>
      <c r="AJ24" s="332" t="n"/>
      <c r="AK24" s="332" t="n"/>
    </row>
    <row r="25" s="373">
      <c r="A25" s="239" t="inlineStr">
        <is>
          <t>453801</t>
        </is>
      </c>
      <c r="B25" s="670" t="n">
        <v>0</v>
      </c>
      <c r="C25" s="670" t="n">
        <v>0</v>
      </c>
      <c r="D25" s="670" t="n">
        <v>2201104</v>
      </c>
      <c r="E25" s="670" t="n">
        <v>2201104</v>
      </c>
      <c r="F25" s="670" t="n">
        <v>0</v>
      </c>
      <c r="G25" s="670" t="n">
        <v>0</v>
      </c>
      <c r="H25" s="274" t="n"/>
      <c r="I25" s="364" t="n"/>
      <c r="J25" s="671" t="n"/>
      <c r="K25" s="274">
        <f>VLOOKUP($A25,[3]Sheet1!$A:$J,3,0)</f>
        <v/>
      </c>
      <c r="L25" s="274">
        <f>VLOOKUP($A25,[3]Sheet1!$A:$J,4,0)</f>
        <v/>
      </c>
      <c r="M25" s="274">
        <f>VLOOKUP($A25,[3]Sheet1!$A:$J,5,0)</f>
        <v/>
      </c>
      <c r="N25" s="274">
        <f>VLOOKUP($A25,[3]Sheet1!$A:$J,6,0)</f>
        <v/>
      </c>
      <c r="O25" s="274">
        <f>VLOOKUP($A25,[3]Sheet1!$A:$J,7,0)</f>
        <v/>
      </c>
      <c r="P25" s="274">
        <f>VLOOKUP($A25,[3]Sheet1!$A:$J,8,0)</f>
        <v/>
      </c>
      <c r="Q25" s="364" t="n"/>
      <c r="R25" s="672">
        <f>K25-B25</f>
        <v/>
      </c>
      <c r="S25" s="672">
        <f>L25-C25</f>
        <v/>
      </c>
      <c r="T25" s="672">
        <f>M25-D25</f>
        <v/>
      </c>
      <c r="U25" s="672">
        <f>N25-E25</f>
        <v/>
      </c>
      <c r="V25" s="672">
        <f>O25-F25</f>
        <v/>
      </c>
      <c r="W25" s="672">
        <f>P25-G25</f>
        <v/>
      </c>
      <c r="X25" s="332" t="n"/>
      <c r="Y25" s="332" t="n"/>
      <c r="Z25" s="332" t="n"/>
      <c r="AA25" s="332" t="n"/>
      <c r="AB25" s="332" t="n"/>
      <c r="AC25" s="332" t="n"/>
      <c r="AD25" s="332" t="n"/>
      <c r="AE25" s="332" t="n"/>
      <c r="AF25" s="332" t="n"/>
      <c r="AG25" s="332" t="n"/>
      <c r="AH25" s="332" t="n"/>
      <c r="AI25" s="332" t="n"/>
      <c r="AJ25" s="332" t="n"/>
      <c r="AK25" s="332" t="n"/>
    </row>
    <row r="26" s="373">
      <c r="A26" s="239" t="inlineStr">
        <is>
          <t>453802</t>
        </is>
      </c>
      <c r="B26" s="670" t="n">
        <v>0</v>
      </c>
      <c r="C26" s="670" t="n">
        <v>77091444</v>
      </c>
      <c r="D26" s="670" t="n">
        <v>603227946</v>
      </c>
      <c r="E26" s="670" t="n">
        <v>536486035</v>
      </c>
      <c r="F26" s="670" t="n">
        <v>0</v>
      </c>
      <c r="G26" s="670" t="n">
        <v>10349533</v>
      </c>
      <c r="H26" s="274" t="n"/>
      <c r="I26" s="364" t="n"/>
      <c r="J26" s="671" t="n"/>
      <c r="K26" s="274">
        <f>VLOOKUP($A26,[3]Sheet1!$A:$J,3,0)</f>
        <v/>
      </c>
      <c r="L26" s="274">
        <f>VLOOKUP($A26,[3]Sheet1!$A:$J,4,0)</f>
        <v/>
      </c>
      <c r="M26" s="274">
        <f>VLOOKUP($A26,[3]Sheet1!$A:$J,5,0)</f>
        <v/>
      </c>
      <c r="N26" s="274">
        <f>VLOOKUP($A26,[3]Sheet1!$A:$J,6,0)</f>
        <v/>
      </c>
      <c r="O26" s="274">
        <f>VLOOKUP($A26,[3]Sheet1!$A:$J,7,0)</f>
        <v/>
      </c>
      <c r="P26" s="274">
        <f>VLOOKUP($A26,[3]Sheet1!$A:$J,8,0)</f>
        <v/>
      </c>
      <c r="Q26" s="364" t="n"/>
      <c r="R26" s="672">
        <f>K26-B26</f>
        <v/>
      </c>
      <c r="S26" s="672">
        <f>L26-C26</f>
        <v/>
      </c>
      <c r="T26" s="672">
        <f>M26-D26</f>
        <v/>
      </c>
      <c r="U26" s="672">
        <f>N26-E26</f>
        <v/>
      </c>
      <c r="V26" s="672">
        <f>O26-F26</f>
        <v/>
      </c>
      <c r="W26" s="672">
        <f>P26-G26</f>
        <v/>
      </c>
      <c r="X26" s="332" t="n"/>
      <c r="Y26" s="332" t="n"/>
      <c r="Z26" s="332" t="n"/>
      <c r="AA26" s="332" t="n"/>
      <c r="AB26" s="332" t="n"/>
      <c r="AC26" s="332" t="n"/>
      <c r="AD26" s="332" t="n"/>
      <c r="AE26" s="332" t="n"/>
      <c r="AF26" s="332" t="n"/>
      <c r="AG26" s="332" t="n"/>
      <c r="AH26" s="332" t="n"/>
      <c r="AI26" s="332" t="n"/>
      <c r="AJ26" s="332" t="n"/>
      <c r="AK26" s="332" t="n"/>
    </row>
    <row r="27" s="373">
      <c r="A27" s="239" t="inlineStr">
        <is>
          <t>453901</t>
        </is>
      </c>
      <c r="B27" s="670" t="n">
        <v>0</v>
      </c>
      <c r="C27" s="670" t="n">
        <v>0</v>
      </c>
      <c r="D27" s="670" t="n">
        <v>0</v>
      </c>
      <c r="E27" s="670" t="n">
        <v>0</v>
      </c>
      <c r="F27" s="670" t="n">
        <v>0</v>
      </c>
      <c r="G27" s="670" t="n">
        <v>0</v>
      </c>
      <c r="H27" s="274" t="n"/>
      <c r="I27" s="364" t="n"/>
      <c r="J27" s="671" t="n"/>
      <c r="K27" s="274" t="n"/>
      <c r="L27" s="274" t="n"/>
      <c r="M27" s="274" t="n"/>
      <c r="N27" s="274" t="n"/>
      <c r="O27" s="274" t="n"/>
      <c r="P27" s="274" t="n"/>
      <c r="Q27" s="364" t="n"/>
      <c r="R27" s="672">
        <f>K27-B27</f>
        <v/>
      </c>
      <c r="S27" s="672">
        <f>L27-C27</f>
        <v/>
      </c>
      <c r="T27" s="672">
        <f>M27-D27</f>
        <v/>
      </c>
      <c r="U27" s="672">
        <f>N27-E27</f>
        <v/>
      </c>
      <c r="V27" s="672">
        <f>O27-F27</f>
        <v/>
      </c>
      <c r="W27" s="672">
        <f>P27-G27</f>
        <v/>
      </c>
      <c r="X27" s="332" t="n"/>
      <c r="Y27" s="332" t="n"/>
      <c r="Z27" s="332" t="n"/>
      <c r="AA27" s="332" t="n"/>
      <c r="AB27" s="332" t="n"/>
      <c r="AC27" s="332" t="n"/>
      <c r="AD27" s="332" t="n"/>
      <c r="AE27" s="332" t="n"/>
      <c r="AF27" s="332" t="n"/>
      <c r="AG27" s="332" t="n"/>
      <c r="AH27" s="332" t="n"/>
      <c r="AI27" s="332" t="n"/>
      <c r="AJ27" s="332" t="n"/>
      <c r="AK27" s="332" t="n"/>
    </row>
    <row r="28" s="373">
      <c r="A28" s="239" t="inlineStr">
        <is>
          <t>454001</t>
        </is>
      </c>
      <c r="B28" s="670" t="n">
        <v>0</v>
      </c>
      <c r="C28" s="670" t="n">
        <v>298689875593</v>
      </c>
      <c r="D28" s="670" t="n">
        <v>7865075540635</v>
      </c>
      <c r="E28" s="670" t="n">
        <v>7638444949765</v>
      </c>
      <c r="F28" s="670" t="n">
        <v>0</v>
      </c>
      <c r="G28" s="670" t="n">
        <v>72059284723</v>
      </c>
      <c r="H28" s="672" t="n"/>
      <c r="I28" s="674" t="n"/>
      <c r="J28" s="671" t="n"/>
      <c r="K28" s="274">
        <f>VLOOKUP($A28,[3]Sheet1!$A:$J,3,0)</f>
        <v/>
      </c>
      <c r="L28" s="274">
        <f>VLOOKUP($A28,[3]Sheet1!$A:$J,4,0)</f>
        <v/>
      </c>
      <c r="M28" s="274">
        <f>VLOOKUP($A28,[3]Sheet1!$A:$J,5,0)</f>
        <v/>
      </c>
      <c r="N28" s="274">
        <f>VLOOKUP($A28,[3]Sheet1!$A:$J,6,0)</f>
        <v/>
      </c>
      <c r="O28" s="274">
        <f>VLOOKUP($A28,[3]Sheet1!$A:$J,7,0)</f>
        <v/>
      </c>
      <c r="P28" s="274">
        <f>VLOOKUP($A28,[3]Sheet1!$A:$J,8,0)</f>
        <v/>
      </c>
      <c r="Q28" s="364" t="n"/>
      <c r="R28" s="672">
        <f>K28-B28</f>
        <v/>
      </c>
      <c r="S28" s="672">
        <f>L28-C28</f>
        <v/>
      </c>
      <c r="T28" s="672">
        <f>M28-D28</f>
        <v/>
      </c>
      <c r="U28" s="672">
        <f>N28-E28</f>
        <v/>
      </c>
      <c r="V28" s="672">
        <f>O28-F28</f>
        <v/>
      </c>
      <c r="W28" s="672">
        <f>P28-G28</f>
        <v/>
      </c>
      <c r="X28" s="332" t="n"/>
      <c r="Y28" s="332" t="n"/>
      <c r="Z28" s="332" t="n"/>
      <c r="AA28" s="332" t="n"/>
      <c r="AB28" s="332" t="n"/>
      <c r="AC28" s="332" t="n"/>
      <c r="AD28" s="332" t="n"/>
      <c r="AE28" s="332" t="n"/>
      <c r="AF28" s="332" t="n"/>
      <c r="AG28" s="332" t="n"/>
      <c r="AH28" s="332" t="n"/>
      <c r="AI28" s="332" t="n"/>
      <c r="AJ28" s="332" t="n"/>
      <c r="AK28" s="332" t="n"/>
    </row>
    <row r="29" s="373">
      <c r="A29" s="239" t="inlineStr">
        <is>
          <t>459908</t>
        </is>
      </c>
      <c r="B29" s="670" t="n">
        <v>0</v>
      </c>
      <c r="C29" s="670" t="n">
        <v>1552685577</v>
      </c>
      <c r="D29" s="670" t="n">
        <v>163640000</v>
      </c>
      <c r="E29" s="670" t="n">
        <v>721837270</v>
      </c>
      <c r="F29" s="670" t="n">
        <v>0</v>
      </c>
      <c r="G29" s="670" t="n">
        <v>2110882847</v>
      </c>
      <c r="H29" s="675" t="n"/>
      <c r="I29" s="364" t="n"/>
      <c r="J29" s="671" t="n"/>
      <c r="K29" s="274">
        <f>VLOOKUP($A29,[3]Sheet1!$A:$J,3,0)</f>
        <v/>
      </c>
      <c r="L29" s="274">
        <f>VLOOKUP($A29,[3]Sheet1!$A:$J,4,0)</f>
        <v/>
      </c>
      <c r="M29" s="274">
        <f>VLOOKUP($A29,[3]Sheet1!$A:$J,5,0)</f>
        <v/>
      </c>
      <c r="N29" s="274">
        <f>VLOOKUP($A29,[3]Sheet1!$A:$J,6,0)</f>
        <v/>
      </c>
      <c r="O29" s="274">
        <f>VLOOKUP($A29,[3]Sheet1!$A:$J,7,0)</f>
        <v/>
      </c>
      <c r="P29" s="274">
        <f>VLOOKUP($A29,[3]Sheet1!$A:$J,8,0)</f>
        <v/>
      </c>
      <c r="Q29" s="364" t="n"/>
      <c r="R29" s="672">
        <f>K29-B29</f>
        <v/>
      </c>
      <c r="S29" s="672">
        <f>L29-C29</f>
        <v/>
      </c>
      <c r="T29" s="672">
        <f>M29-D29</f>
        <v/>
      </c>
      <c r="U29" s="672">
        <f>N29-E29</f>
        <v/>
      </c>
      <c r="V29" s="672">
        <f>O29-F29</f>
        <v/>
      </c>
      <c r="W29" s="672">
        <f>P29-G29</f>
        <v/>
      </c>
      <c r="X29" s="332" t="n"/>
      <c r="Y29" s="332" t="n"/>
      <c r="Z29" s="332" t="n"/>
      <c r="AA29" s="332" t="n"/>
      <c r="AB29" s="332" t="n"/>
      <c r="AC29" s="332" t="n"/>
      <c r="AD29" s="332" t="n"/>
      <c r="AE29" s="332" t="n"/>
      <c r="AF29" s="332" t="n"/>
      <c r="AG29" s="332" t="n"/>
      <c r="AH29" s="332" t="n"/>
      <c r="AI29" s="332" t="n"/>
      <c r="AJ29" s="332" t="n"/>
      <c r="AK29" s="332" t="n"/>
    </row>
    <row r="30" s="373">
      <c r="A30" s="239" t="inlineStr">
        <is>
          <t>459999</t>
        </is>
      </c>
      <c r="B30" s="670" t="n">
        <v>0</v>
      </c>
      <c r="C30" s="670" t="n">
        <v>54938713654</v>
      </c>
      <c r="D30" s="670" t="n">
        <v>10852458371657</v>
      </c>
      <c r="E30" s="673">
        <f>10858679850671-'But toan can tru'!D8</f>
        <v/>
      </c>
      <c r="F30" s="676" t="n">
        <v>0</v>
      </c>
      <c r="G30" s="673">
        <f>61160192668-'But toan can tru'!D7</f>
        <v/>
      </c>
      <c r="H30" s="672" t="inlineStr">
        <is>
          <t>Cấn trừ</t>
        </is>
      </c>
      <c r="I30" s="674">
        <f>C30+E30-D30-G30</f>
        <v/>
      </c>
      <c r="J30" s="671" t="n"/>
      <c r="K30" s="274">
        <f>VLOOKUP($A30,[3]Sheet1!$A:$J,3,0)</f>
        <v/>
      </c>
      <c r="L30" s="274">
        <f>VLOOKUP($A30,[3]Sheet1!$A:$J,4,0)</f>
        <v/>
      </c>
      <c r="M30" s="274">
        <f>VLOOKUP($A30,[3]Sheet1!$A:$J,5,0)</f>
        <v/>
      </c>
      <c r="N30" s="274">
        <f>VLOOKUP($A30,[3]Sheet1!$A:$J,6,0)</f>
        <v/>
      </c>
      <c r="O30" s="274">
        <f>VLOOKUP($A30,[3]Sheet1!$A:$J,7,0)</f>
        <v/>
      </c>
      <c r="P30" s="274">
        <f>VLOOKUP($A30,[3]Sheet1!$A:$J,8,0)</f>
        <v/>
      </c>
      <c r="Q30" s="364" t="n"/>
      <c r="R30" s="672">
        <f>K30-B30</f>
        <v/>
      </c>
      <c r="S30" s="672">
        <f>L30-C30</f>
        <v/>
      </c>
      <c r="T30" s="672">
        <f>M30-D30</f>
        <v/>
      </c>
      <c r="U30" s="672">
        <f>N30-E30</f>
        <v/>
      </c>
      <c r="V30" s="672">
        <f>O30-F30</f>
        <v/>
      </c>
      <c r="W30" s="672">
        <f>P30-G30</f>
        <v/>
      </c>
      <c r="X30" s="332" t="n"/>
      <c r="Y30" s="332" t="n"/>
      <c r="Z30" s="332" t="n"/>
      <c r="AA30" s="332" t="n"/>
      <c r="AB30" s="332" t="n"/>
      <c r="AC30" s="332" t="n"/>
      <c r="AD30" s="332" t="n"/>
      <c r="AE30" s="332" t="n"/>
      <c r="AF30" s="332" t="n"/>
      <c r="AG30" s="332" t="n"/>
      <c r="AH30" s="332" t="n"/>
      <c r="AI30" s="332" t="n"/>
      <c r="AJ30" s="332" t="n"/>
      <c r="AK30" s="332" t="n"/>
    </row>
    <row r="31" s="373">
      <c r="A31" s="239" t="inlineStr">
        <is>
          <t>462001</t>
        </is>
      </c>
      <c r="B31" s="670" t="n">
        <v>0</v>
      </c>
      <c r="C31" s="670" t="n">
        <v>5432454882</v>
      </c>
      <c r="D31" s="670" t="n">
        <v>7111945353</v>
      </c>
      <c r="E31" s="670" t="n">
        <v>3897402000</v>
      </c>
      <c r="F31" s="670" t="n">
        <v>0</v>
      </c>
      <c r="G31" s="670" t="n">
        <v>2217911529</v>
      </c>
      <c r="H31" s="669" t="n"/>
      <c r="I31" s="674" t="n"/>
      <c r="J31" s="671" t="n"/>
      <c r="K31" s="274">
        <f>VLOOKUP($A31,[3]Sheet1!$A:$J,3,0)</f>
        <v/>
      </c>
      <c r="L31" s="274">
        <f>VLOOKUP($A31,[3]Sheet1!$A:$J,4,0)</f>
        <v/>
      </c>
      <c r="M31" s="274">
        <f>VLOOKUP($A31,[3]Sheet1!$A:$J,5,0)</f>
        <v/>
      </c>
      <c r="N31" s="274">
        <f>VLOOKUP($A31,[3]Sheet1!$A:$J,6,0)</f>
        <v/>
      </c>
      <c r="O31" s="274">
        <f>VLOOKUP($A31,[3]Sheet1!$A:$J,7,0)</f>
        <v/>
      </c>
      <c r="P31" s="274">
        <f>VLOOKUP($A31,[3]Sheet1!$A:$J,8,0)</f>
        <v/>
      </c>
      <c r="Q31" s="364" t="n"/>
      <c r="R31" s="672">
        <f>K31-B31</f>
        <v/>
      </c>
      <c r="S31" s="672">
        <f>L31-C31</f>
        <v/>
      </c>
      <c r="T31" s="672">
        <f>M31-D31</f>
        <v/>
      </c>
      <c r="U31" s="672">
        <f>N31-E31</f>
        <v/>
      </c>
      <c r="V31" s="672">
        <f>O31-F31</f>
        <v/>
      </c>
      <c r="W31" s="672">
        <f>P31-G31</f>
        <v/>
      </c>
      <c r="X31" s="332" t="n"/>
      <c r="Y31" s="332" t="n"/>
      <c r="Z31" s="332" t="n"/>
      <c r="AA31" s="332" t="n"/>
      <c r="AB31" s="332" t="n"/>
      <c r="AC31" s="332" t="n"/>
      <c r="AD31" s="332" t="n"/>
      <c r="AE31" s="332" t="n"/>
      <c r="AF31" s="332" t="n"/>
      <c r="AG31" s="332" t="n"/>
      <c r="AH31" s="332" t="n"/>
      <c r="AI31" s="332" t="n"/>
      <c r="AJ31" s="332" t="n"/>
      <c r="AK31" s="332" t="n"/>
    </row>
    <row r="32" s="373">
      <c r="A32" s="239" t="inlineStr">
        <is>
          <t>484101</t>
        </is>
      </c>
      <c r="B32" s="670" t="n">
        <v>0</v>
      </c>
      <c r="C32" s="670" t="n">
        <v>448921461</v>
      </c>
      <c r="D32" s="670" t="n">
        <v>420000000</v>
      </c>
      <c r="E32" s="670" t="n">
        <v>0</v>
      </c>
      <c r="F32" s="670" t="n">
        <v>0</v>
      </c>
      <c r="G32" s="670" t="n">
        <v>28921461</v>
      </c>
      <c r="H32" s="274" t="n"/>
      <c r="I32" s="364" t="n"/>
      <c r="J32" s="671" t="n"/>
      <c r="K32" s="274">
        <f>VLOOKUP($A32,[3]Sheet1!$A:$J,3,0)</f>
        <v/>
      </c>
      <c r="L32" s="274">
        <f>VLOOKUP($A32,[3]Sheet1!$A:$J,4,0)</f>
        <v/>
      </c>
      <c r="M32" s="274">
        <f>VLOOKUP($A32,[3]Sheet1!$A:$J,5,0)</f>
        <v/>
      </c>
      <c r="N32" s="274">
        <f>VLOOKUP($A32,[3]Sheet1!$A:$J,6,0)</f>
        <v/>
      </c>
      <c r="O32" s="274">
        <f>VLOOKUP($A32,[3]Sheet1!$A:$J,7,0)</f>
        <v/>
      </c>
      <c r="P32" s="274">
        <f>VLOOKUP($A32,[3]Sheet1!$A:$J,8,0)</f>
        <v/>
      </c>
      <c r="Q32" s="364" t="n"/>
      <c r="R32" s="672">
        <f>K32-B32</f>
        <v/>
      </c>
      <c r="S32" s="672">
        <f>L32-C32</f>
        <v/>
      </c>
      <c r="T32" s="672">
        <f>M32-D32</f>
        <v/>
      </c>
      <c r="U32" s="672">
        <f>N32-E32</f>
        <v/>
      </c>
      <c r="V32" s="672">
        <f>O32-F32</f>
        <v/>
      </c>
      <c r="W32" s="672">
        <f>P32-G32</f>
        <v/>
      </c>
      <c r="X32" s="332" t="n"/>
      <c r="Y32" s="332" t="n"/>
      <c r="Z32" s="332" t="n"/>
      <c r="AA32" s="332" t="n"/>
      <c r="AB32" s="332" t="n"/>
      <c r="AC32" s="332" t="n"/>
      <c r="AD32" s="332" t="n"/>
      <c r="AE32" s="332" t="n"/>
      <c r="AF32" s="332" t="n"/>
      <c r="AG32" s="332" t="n"/>
      <c r="AH32" s="332" t="n"/>
      <c r="AI32" s="332" t="n"/>
      <c r="AJ32" s="332" t="n"/>
      <c r="AK32" s="332" t="n"/>
    </row>
    <row r="33" s="373">
      <c r="A33" s="239" t="inlineStr">
        <is>
          <t>484201</t>
        </is>
      </c>
      <c r="B33" s="670" t="n">
        <v>0</v>
      </c>
      <c r="C33" s="670" t="n">
        <v>89214568</v>
      </c>
      <c r="D33" s="670" t="n">
        <v>0</v>
      </c>
      <c r="E33" s="670" t="n">
        <v>0</v>
      </c>
      <c r="F33" s="670" t="n">
        <v>0</v>
      </c>
      <c r="G33" s="670" t="n">
        <v>89214568</v>
      </c>
      <c r="H33" s="274" t="n"/>
      <c r="I33" s="364" t="n"/>
      <c r="J33" s="671" t="n"/>
      <c r="K33" s="274">
        <f>VLOOKUP($A33,[3]Sheet1!$A:$J,3,0)</f>
        <v/>
      </c>
      <c r="L33" s="274">
        <f>VLOOKUP($A33,[3]Sheet1!$A:$J,4,0)</f>
        <v/>
      </c>
      <c r="M33" s="274">
        <f>VLOOKUP($A33,[3]Sheet1!$A:$J,5,0)</f>
        <v/>
      </c>
      <c r="N33" s="274">
        <f>VLOOKUP($A33,[3]Sheet1!$A:$J,6,0)</f>
        <v/>
      </c>
      <c r="O33" s="274">
        <f>VLOOKUP($A33,[3]Sheet1!$A:$J,7,0)</f>
        <v/>
      </c>
      <c r="P33" s="274">
        <f>VLOOKUP($A33,[3]Sheet1!$A:$J,8,0)</f>
        <v/>
      </c>
      <c r="Q33" s="364" t="n"/>
      <c r="R33" s="672">
        <f>K33-B33</f>
        <v/>
      </c>
      <c r="S33" s="672">
        <f>L33-C33</f>
        <v/>
      </c>
      <c r="T33" s="672">
        <f>M33-D33</f>
        <v/>
      </c>
      <c r="U33" s="672">
        <f>N33-E33</f>
        <v/>
      </c>
      <c r="V33" s="672">
        <f>O33-F33</f>
        <v/>
      </c>
      <c r="W33" s="672">
        <f>P33-G33</f>
        <v/>
      </c>
      <c r="X33" s="332" t="n"/>
      <c r="Y33" s="332" t="n"/>
      <c r="Z33" s="332" t="n"/>
      <c r="AA33" s="332" t="n"/>
      <c r="AB33" s="332" t="n"/>
      <c r="AC33" s="332" t="n"/>
      <c r="AD33" s="332" t="n"/>
      <c r="AE33" s="332" t="n"/>
      <c r="AF33" s="332" t="n"/>
      <c r="AG33" s="332" t="n"/>
      <c r="AH33" s="332" t="n"/>
      <c r="AI33" s="332" t="n"/>
      <c r="AJ33" s="332" t="n"/>
      <c r="AK33" s="332" t="n"/>
    </row>
    <row r="34" s="373">
      <c r="A34" s="239" t="n"/>
      <c r="B34" s="670" t="n">
        <v>0</v>
      </c>
      <c r="C34" s="670" t="n">
        <v>0</v>
      </c>
      <c r="D34" s="670" t="n">
        <v>0</v>
      </c>
      <c r="E34" s="670" t="n">
        <v>0</v>
      </c>
      <c r="F34" s="670" t="n">
        <v>0</v>
      </c>
      <c r="G34" s="670" t="n">
        <v>0</v>
      </c>
      <c r="H34" s="274" t="n"/>
      <c r="I34" s="364" t="n"/>
      <c r="J34" s="671" t="n"/>
      <c r="K34" s="274" t="n"/>
      <c r="L34" s="274" t="n"/>
      <c r="M34" s="274" t="n"/>
      <c r="N34" s="274" t="n"/>
      <c r="O34" s="274" t="n"/>
      <c r="P34" s="274" t="n"/>
      <c r="Q34" s="364" t="n"/>
      <c r="R34" s="672">
        <f>K34-B34</f>
        <v/>
      </c>
      <c r="S34" s="672">
        <f>L34-C34</f>
        <v/>
      </c>
      <c r="T34" s="672">
        <f>M34-D34</f>
        <v/>
      </c>
      <c r="U34" s="672">
        <f>N34-E34</f>
        <v/>
      </c>
      <c r="V34" s="672">
        <f>O34-F34</f>
        <v/>
      </c>
      <c r="W34" s="672">
        <f>P34-G34</f>
        <v/>
      </c>
      <c r="X34" s="332" t="n"/>
      <c r="Y34" s="332" t="n"/>
      <c r="Z34" s="332" t="n"/>
      <c r="AA34" s="332" t="n"/>
      <c r="AB34" s="332" t="n"/>
      <c r="AC34" s="332" t="n"/>
      <c r="AD34" s="332" t="n"/>
      <c r="AE34" s="332" t="n"/>
      <c r="AF34" s="332" t="n"/>
      <c r="AG34" s="332" t="n"/>
      <c r="AH34" s="332" t="n"/>
      <c r="AI34" s="332" t="n"/>
      <c r="AJ34" s="332" t="n"/>
      <c r="AK34" s="332" t="n"/>
    </row>
    <row r="35" s="373">
      <c r="A35" s="239" t="inlineStr">
        <is>
          <t>497001</t>
        </is>
      </c>
      <c r="B35" s="670" t="n">
        <v>0</v>
      </c>
      <c r="C35" s="670" t="n">
        <v>0</v>
      </c>
      <c r="D35" s="670" t="n">
        <v>5692347573</v>
      </c>
      <c r="E35" s="670" t="n">
        <v>5692347573</v>
      </c>
      <c r="F35" s="670" t="n">
        <v>0</v>
      </c>
      <c r="G35" s="670" t="n">
        <v>0</v>
      </c>
      <c r="H35" s="274" t="n"/>
      <c r="I35" s="364" t="n"/>
      <c r="J35" s="671" t="n"/>
      <c r="K35" s="274">
        <f>VLOOKUP($A35,[3]Sheet1!$A:$J,3,0)</f>
        <v/>
      </c>
      <c r="L35" s="274">
        <f>VLOOKUP($A35,[3]Sheet1!$A:$J,4,0)</f>
        <v/>
      </c>
      <c r="M35" s="274">
        <f>VLOOKUP($A35,[3]Sheet1!$A:$J,5,0)</f>
        <v/>
      </c>
      <c r="N35" s="274">
        <f>VLOOKUP($A35,[3]Sheet1!$A:$J,6,0)</f>
        <v/>
      </c>
      <c r="O35" s="274">
        <f>VLOOKUP($A35,[3]Sheet1!$A:$J,7,0)</f>
        <v/>
      </c>
      <c r="P35" s="274">
        <f>VLOOKUP($A35,[3]Sheet1!$A:$J,8,0)</f>
        <v/>
      </c>
      <c r="Q35" s="364" t="n"/>
      <c r="R35" s="672">
        <f>K35-B35</f>
        <v/>
      </c>
      <c r="S35" s="672">
        <f>L35-C35</f>
        <v/>
      </c>
      <c r="T35" s="672">
        <f>M35-D35</f>
        <v/>
      </c>
      <c r="U35" s="672">
        <f>N35-E35</f>
        <v/>
      </c>
      <c r="V35" s="672">
        <f>O35-F35</f>
        <v/>
      </c>
      <c r="W35" s="672">
        <f>P35-G35</f>
        <v/>
      </c>
      <c r="X35" s="332" t="n"/>
      <c r="Y35" s="332" t="n"/>
      <c r="Z35" s="332" t="n"/>
      <c r="AA35" s="332" t="n"/>
      <c r="AB35" s="332" t="n"/>
      <c r="AC35" s="332" t="n"/>
      <c r="AD35" s="332" t="n"/>
      <c r="AE35" s="332" t="n"/>
      <c r="AF35" s="332" t="n"/>
      <c r="AG35" s="332" t="n"/>
      <c r="AH35" s="332" t="n"/>
      <c r="AI35" s="332" t="n"/>
      <c r="AJ35" s="332" t="n"/>
      <c r="AK35" s="332" t="n"/>
    </row>
    <row r="36" s="373">
      <c r="A36" s="239" t="inlineStr">
        <is>
          <t>601001</t>
        </is>
      </c>
      <c r="B36" s="670" t="n">
        <v>0</v>
      </c>
      <c r="C36" s="670" t="n">
        <v>50000000000</v>
      </c>
      <c r="D36" s="670" t="n">
        <v>0</v>
      </c>
      <c r="E36" s="670" t="n">
        <v>0</v>
      </c>
      <c r="F36" s="670" t="n">
        <v>0</v>
      </c>
      <c r="G36" s="670" t="n">
        <v>50000000000</v>
      </c>
      <c r="H36" s="274" t="n"/>
      <c r="I36" s="364" t="n"/>
      <c r="J36" s="671" t="n"/>
      <c r="K36" s="274">
        <f>VLOOKUP($A36,[3]Sheet1!$A:$J,3,0)</f>
        <v/>
      </c>
      <c r="L36" s="274">
        <f>VLOOKUP($A36,[3]Sheet1!$A:$J,4,0)</f>
        <v/>
      </c>
      <c r="M36" s="274">
        <f>VLOOKUP($A36,[3]Sheet1!$A:$J,5,0)</f>
        <v/>
      </c>
      <c r="N36" s="274">
        <f>VLOOKUP($A36,[3]Sheet1!$A:$J,6,0)</f>
        <v/>
      </c>
      <c r="O36" s="274">
        <f>VLOOKUP($A36,[3]Sheet1!$A:$J,7,0)</f>
        <v/>
      </c>
      <c r="P36" s="274">
        <f>VLOOKUP($A36,[3]Sheet1!$A:$J,8,0)</f>
        <v/>
      </c>
      <c r="Q36" s="364" t="n"/>
      <c r="R36" s="672">
        <f>K36-B36</f>
        <v/>
      </c>
      <c r="S36" s="672">
        <f>L36-C36</f>
        <v/>
      </c>
      <c r="T36" s="672">
        <f>M36-D36</f>
        <v/>
      </c>
      <c r="U36" s="672">
        <f>N36-E36</f>
        <v/>
      </c>
      <c r="V36" s="672">
        <f>O36-F36</f>
        <v/>
      </c>
      <c r="W36" s="672">
        <f>P36-G36</f>
        <v/>
      </c>
      <c r="X36" s="332" t="n"/>
      <c r="Y36" s="332" t="n"/>
      <c r="Z36" s="332" t="n"/>
      <c r="AA36" s="332" t="n"/>
      <c r="AB36" s="332" t="n"/>
      <c r="AC36" s="332" t="n"/>
      <c r="AD36" s="332" t="n"/>
      <c r="AE36" s="332" t="n"/>
      <c r="AF36" s="332" t="n"/>
      <c r="AG36" s="332" t="n"/>
      <c r="AH36" s="332" t="n"/>
      <c r="AI36" s="332" t="n"/>
      <c r="AJ36" s="332" t="n"/>
      <c r="AK36" s="332" t="n"/>
    </row>
    <row r="37" s="373">
      <c r="A37" s="239" t="inlineStr">
        <is>
          <t>611001</t>
        </is>
      </c>
      <c r="B37" s="670" t="n">
        <v>0</v>
      </c>
      <c r="C37" s="670" t="n">
        <v>3793255874</v>
      </c>
      <c r="D37" s="670" t="n">
        <v>0</v>
      </c>
      <c r="E37" s="670" t="n">
        <v>0</v>
      </c>
      <c r="F37" s="670" t="n">
        <v>0</v>
      </c>
      <c r="G37" s="670" t="n">
        <v>3793255874</v>
      </c>
      <c r="H37" s="274" t="n"/>
      <c r="I37" s="364" t="n"/>
      <c r="J37" s="671" t="n"/>
      <c r="K37" s="274">
        <f>VLOOKUP($A37,[3]Sheet1!$A:$J,3,0)</f>
        <v/>
      </c>
      <c r="L37" s="274">
        <f>VLOOKUP($A37,[3]Sheet1!$A:$J,4,0)</f>
        <v/>
      </c>
      <c r="M37" s="274">
        <f>VLOOKUP($A37,[3]Sheet1!$A:$J,5,0)</f>
        <v/>
      </c>
      <c r="N37" s="274">
        <f>VLOOKUP($A37,[3]Sheet1!$A:$J,6,0)</f>
        <v/>
      </c>
      <c r="O37" s="274">
        <f>VLOOKUP($A37,[3]Sheet1!$A:$J,7,0)</f>
        <v/>
      </c>
      <c r="P37" s="274">
        <f>VLOOKUP($A37,[3]Sheet1!$A:$J,8,0)</f>
        <v/>
      </c>
      <c r="Q37" s="364" t="n"/>
      <c r="R37" s="672">
        <f>K37-B37</f>
        <v/>
      </c>
      <c r="S37" s="672">
        <f>L37-C37</f>
        <v/>
      </c>
      <c r="T37" s="672">
        <f>M37-D37</f>
        <v/>
      </c>
      <c r="U37" s="672">
        <f>N37-E37</f>
        <v/>
      </c>
      <c r="V37" s="672">
        <f>O37-F37</f>
        <v/>
      </c>
      <c r="W37" s="672">
        <f>P37-G37</f>
        <v/>
      </c>
      <c r="X37" s="332" t="n"/>
      <c r="Y37" s="332" t="n"/>
      <c r="Z37" s="332" t="n"/>
      <c r="AA37" s="332" t="n"/>
      <c r="AB37" s="332" t="n"/>
      <c r="AC37" s="332" t="n"/>
      <c r="AD37" s="332" t="n"/>
      <c r="AE37" s="332" t="n"/>
      <c r="AF37" s="332" t="n"/>
      <c r="AG37" s="332" t="n"/>
      <c r="AH37" s="332" t="n"/>
      <c r="AI37" s="332" t="n"/>
      <c r="AJ37" s="332" t="n"/>
      <c r="AK37" s="332" t="n"/>
    </row>
    <row r="38" s="373">
      <c r="A38" s="239" t="inlineStr">
        <is>
          <t>612101</t>
        </is>
      </c>
      <c r="B38" s="670" t="n">
        <v>0</v>
      </c>
      <c r="C38" s="670" t="n">
        <v>5336258205</v>
      </c>
      <c r="D38" s="670" t="n">
        <v>0</v>
      </c>
      <c r="E38" s="670" t="n">
        <v>0</v>
      </c>
      <c r="F38" s="670" t="n">
        <v>0</v>
      </c>
      <c r="G38" s="670" t="n">
        <v>5336258205</v>
      </c>
      <c r="H38" s="274" t="n"/>
      <c r="I38" s="364" t="n"/>
      <c r="J38" s="671" t="n"/>
      <c r="K38" s="274">
        <f>VLOOKUP($A38,[3]Sheet1!$A:$J,3,0)</f>
        <v/>
      </c>
      <c r="L38" s="274">
        <f>VLOOKUP($A38,[3]Sheet1!$A:$J,4,0)</f>
        <v/>
      </c>
      <c r="M38" s="274">
        <f>VLOOKUP($A38,[3]Sheet1!$A:$J,5,0)</f>
        <v/>
      </c>
      <c r="N38" s="274">
        <f>VLOOKUP($A38,[3]Sheet1!$A:$J,6,0)</f>
        <v/>
      </c>
      <c r="O38" s="274">
        <f>VLOOKUP($A38,[3]Sheet1!$A:$J,7,0)</f>
        <v/>
      </c>
      <c r="P38" s="274">
        <f>VLOOKUP($A38,[3]Sheet1!$A:$J,8,0)</f>
        <v/>
      </c>
      <c r="Q38" s="364" t="n"/>
      <c r="R38" s="672">
        <f>K38-B38</f>
        <v/>
      </c>
      <c r="S38" s="672">
        <f>L38-C38</f>
        <v/>
      </c>
      <c r="T38" s="672">
        <f>M38-D38</f>
        <v/>
      </c>
      <c r="U38" s="672">
        <f>N38-E38</f>
        <v/>
      </c>
      <c r="V38" s="672">
        <f>O38-F38</f>
        <v/>
      </c>
      <c r="W38" s="672">
        <f>P38-G38</f>
        <v/>
      </c>
      <c r="X38" s="332" t="n"/>
      <c r="Y38" s="332" t="n"/>
      <c r="Z38" s="332" t="n"/>
      <c r="AA38" s="332" t="n"/>
      <c r="AB38" s="332" t="n"/>
      <c r="AC38" s="332" t="n"/>
      <c r="AD38" s="332" t="n"/>
      <c r="AE38" s="332" t="n"/>
      <c r="AF38" s="332" t="n"/>
      <c r="AG38" s="332" t="n"/>
      <c r="AH38" s="332" t="n"/>
      <c r="AI38" s="332" t="n"/>
      <c r="AJ38" s="332" t="n"/>
      <c r="AK38" s="332" t="n"/>
    </row>
    <row r="39" s="373">
      <c r="A39" s="239" t="inlineStr">
        <is>
          <t>631101</t>
        </is>
      </c>
      <c r="B39" s="670" t="n">
        <v>0</v>
      </c>
      <c r="C39" s="670" t="n">
        <v>0</v>
      </c>
      <c r="D39" s="670" t="n">
        <v>181114870</v>
      </c>
      <c r="E39" s="670" t="n">
        <v>181114870</v>
      </c>
      <c r="F39" s="670" t="n">
        <v>0</v>
      </c>
      <c r="G39" s="670" t="n">
        <v>0</v>
      </c>
      <c r="H39" s="274" t="n"/>
      <c r="I39" s="364" t="n"/>
      <c r="J39" s="671" t="n"/>
      <c r="K39" s="274">
        <f>VLOOKUP($A39,[3]Sheet1!$A:$J,3,0)</f>
        <v/>
      </c>
      <c r="L39" s="274">
        <f>VLOOKUP($A39,[3]Sheet1!$A:$J,4,0)</f>
        <v/>
      </c>
      <c r="M39" s="274">
        <f>VLOOKUP($A39,[3]Sheet1!$A:$J,5,0)</f>
        <v/>
      </c>
      <c r="N39" s="274">
        <f>VLOOKUP($A39,[3]Sheet1!$A:$J,6,0)</f>
        <v/>
      </c>
      <c r="O39" s="274">
        <f>VLOOKUP($A39,[3]Sheet1!$A:$J,7,0)</f>
        <v/>
      </c>
      <c r="P39" s="274">
        <f>VLOOKUP($A39,[3]Sheet1!$A:$J,8,0)</f>
        <v/>
      </c>
      <c r="Q39" s="364" t="n"/>
      <c r="R39" s="672">
        <f>K39-B39</f>
        <v/>
      </c>
      <c r="S39" s="672">
        <f>L39-C39</f>
        <v/>
      </c>
      <c r="T39" s="672">
        <f>M39-D39</f>
        <v/>
      </c>
      <c r="U39" s="672">
        <f>N39-E39</f>
        <v/>
      </c>
      <c r="V39" s="672">
        <f>O39-F39</f>
        <v/>
      </c>
      <c r="W39" s="672">
        <f>P39-G39</f>
        <v/>
      </c>
      <c r="X39" s="332" t="n"/>
      <c r="Y39" s="332" t="n"/>
      <c r="Z39" s="332" t="n"/>
      <c r="AA39" s="332" t="n"/>
      <c r="AB39" s="332" t="n"/>
      <c r="AC39" s="332" t="n"/>
      <c r="AD39" s="332" t="n"/>
      <c r="AE39" s="332" t="n"/>
      <c r="AF39" s="332" t="n"/>
      <c r="AG39" s="332" t="n"/>
      <c r="AH39" s="332" t="n"/>
      <c r="AI39" s="332" t="n"/>
      <c r="AJ39" s="332" t="n"/>
      <c r="AK39" s="332" t="n"/>
    </row>
    <row r="40" s="373">
      <c r="A40" s="239" t="inlineStr">
        <is>
          <t>691001</t>
        </is>
      </c>
      <c r="B40" s="670" t="n">
        <v>0</v>
      </c>
      <c r="C40" s="670" t="n">
        <v>17967434045</v>
      </c>
      <c r="D40" s="670" t="n">
        <v>17967434045</v>
      </c>
      <c r="E40" s="670" t="n">
        <v>0</v>
      </c>
      <c r="F40" s="670" t="n">
        <v>0</v>
      </c>
      <c r="G40" s="670" t="n">
        <v>0</v>
      </c>
      <c r="H40" s="274" t="n"/>
      <c r="I40" s="364" t="n"/>
      <c r="J40" s="671" t="n"/>
      <c r="K40" s="274" t="n"/>
      <c r="L40" s="274" t="n"/>
      <c r="M40" s="274" t="n"/>
      <c r="N40" s="274" t="n"/>
      <c r="O40" s="274" t="n"/>
      <c r="P40" s="274" t="n"/>
      <c r="Q40" s="364" t="n"/>
      <c r="R40" s="672">
        <f>K40-B40</f>
        <v/>
      </c>
      <c r="S40" s="672">
        <f>L40-C40</f>
        <v/>
      </c>
      <c r="T40" s="672">
        <f>M40-D40</f>
        <v/>
      </c>
      <c r="U40" s="672">
        <f>N40-E40</f>
        <v/>
      </c>
      <c r="V40" s="672">
        <f>O40-F40</f>
        <v/>
      </c>
      <c r="W40" s="672">
        <f>P40-G40</f>
        <v/>
      </c>
      <c r="X40" s="332" t="n"/>
      <c r="Y40" s="332" t="n"/>
      <c r="Z40" s="332" t="n"/>
      <c r="AA40" s="332" t="n"/>
      <c r="AB40" s="332" t="n"/>
      <c r="AC40" s="332" t="n"/>
      <c r="AD40" s="332" t="n"/>
      <c r="AE40" s="332" t="n"/>
      <c r="AF40" s="332" t="n"/>
      <c r="AG40" s="332" t="n"/>
      <c r="AH40" s="332" t="n"/>
      <c r="AI40" s="332" t="n"/>
      <c r="AJ40" s="332" t="n"/>
      <c r="AK40" s="332" t="n"/>
    </row>
    <row r="41" s="373">
      <c r="A41" s="239" t="inlineStr">
        <is>
          <t>692001</t>
        </is>
      </c>
      <c r="B41" s="670" t="n">
        <v>0</v>
      </c>
      <c r="C41" s="670" t="n">
        <v>0</v>
      </c>
      <c r="D41" s="670" t="n">
        <v>0</v>
      </c>
      <c r="E41" s="670" t="n">
        <v>17967434045</v>
      </c>
      <c r="F41" s="670" t="n">
        <v>0</v>
      </c>
      <c r="G41" s="670" t="n">
        <v>17967434045</v>
      </c>
      <c r="H41" s="274" t="n"/>
      <c r="I41" s="364" t="n"/>
      <c r="J41" s="671" t="n"/>
      <c r="K41" s="274" t="n"/>
      <c r="L41" s="274" t="n"/>
      <c r="M41" s="274" t="n"/>
      <c r="N41" s="274" t="n"/>
      <c r="O41" s="274" t="n"/>
      <c r="P41" s="274" t="n"/>
      <c r="Q41" s="364" t="n"/>
      <c r="R41" s="672">
        <f>K41-B41</f>
        <v/>
      </c>
      <c r="S41" s="672">
        <f>L41-C41</f>
        <v/>
      </c>
      <c r="T41" s="672">
        <f>M41-D41</f>
        <v/>
      </c>
      <c r="U41" s="672">
        <f>N41-E41</f>
        <v/>
      </c>
      <c r="V41" s="672">
        <f>O41-F41</f>
        <v/>
      </c>
      <c r="W41" s="672">
        <f>P41-G41</f>
        <v/>
      </c>
      <c r="X41" s="332" t="n"/>
      <c r="Y41" s="332" t="n"/>
      <c r="Z41" s="332" t="n"/>
      <c r="AA41" s="332" t="n"/>
      <c r="AB41" s="332" t="n"/>
      <c r="AC41" s="332" t="n"/>
      <c r="AD41" s="332" t="n"/>
      <c r="AE41" s="332" t="n"/>
      <c r="AF41" s="332" t="n"/>
      <c r="AG41" s="332" t="n"/>
      <c r="AH41" s="332" t="n"/>
      <c r="AI41" s="332" t="n"/>
      <c r="AJ41" s="332" t="n"/>
      <c r="AK41" s="332" t="n"/>
    </row>
    <row r="42" s="373">
      <c r="A42" s="239" t="inlineStr">
        <is>
          <t>701001</t>
        </is>
      </c>
      <c r="B42" s="670" t="n">
        <v>0</v>
      </c>
      <c r="C42" s="670" t="n">
        <v>0</v>
      </c>
      <c r="D42" s="670" t="n">
        <v>52120548</v>
      </c>
      <c r="E42" s="670" t="n">
        <v>715302374</v>
      </c>
      <c r="F42" s="670" t="n">
        <v>0</v>
      </c>
      <c r="G42" s="670" t="n">
        <v>663181826</v>
      </c>
      <c r="H42" s="274" t="n"/>
      <c r="I42" s="364" t="n"/>
      <c r="J42" s="671" t="n"/>
      <c r="K42" s="274">
        <f>VLOOKUP($A42,[3]Sheet1!$A:$J,3,0)</f>
        <v/>
      </c>
      <c r="L42" s="274">
        <f>VLOOKUP($A42,[3]Sheet1!$A:$J,4,0)</f>
        <v/>
      </c>
      <c r="M42" s="274">
        <f>VLOOKUP($A42,[3]Sheet1!$A:$J,5,0)</f>
        <v/>
      </c>
      <c r="N42" s="274">
        <f>VLOOKUP($A42,[3]Sheet1!$A:$J,6,0)</f>
        <v/>
      </c>
      <c r="O42" s="274">
        <f>VLOOKUP($A42,[3]Sheet1!$A:$J,7,0)</f>
        <v/>
      </c>
      <c r="P42" s="274">
        <f>VLOOKUP($A42,[3]Sheet1!$A:$J,8,0)</f>
        <v/>
      </c>
      <c r="Q42" s="364" t="n"/>
      <c r="R42" s="672">
        <f>K42-B42</f>
        <v/>
      </c>
      <c r="S42" s="672">
        <f>L42-C42</f>
        <v/>
      </c>
      <c r="T42" s="672">
        <f>M42-D42</f>
        <v/>
      </c>
      <c r="U42" s="672">
        <f>N42-E42</f>
        <v/>
      </c>
      <c r="V42" s="672">
        <f>O42-F42</f>
        <v/>
      </c>
      <c r="W42" s="672">
        <f>P42-G42</f>
        <v/>
      </c>
      <c r="X42" s="332" t="n"/>
      <c r="Y42" s="332" t="n"/>
      <c r="Z42" s="332" t="n"/>
      <c r="AA42" s="332" t="n"/>
      <c r="AB42" s="332" t="n"/>
      <c r="AC42" s="332" t="n"/>
      <c r="AD42" s="332" t="n"/>
      <c r="AE42" s="332" t="n"/>
      <c r="AF42" s="332" t="n"/>
      <c r="AG42" s="332" t="n"/>
      <c r="AH42" s="332" t="n"/>
      <c r="AI42" s="332" t="n"/>
      <c r="AJ42" s="332" t="n"/>
      <c r="AK42" s="332" t="n"/>
    </row>
    <row r="43" s="373">
      <c r="A43" s="239" t="inlineStr">
        <is>
          <t>711001</t>
        </is>
      </c>
      <c r="B43" s="670" t="n">
        <v>0</v>
      </c>
      <c r="C43" s="670" t="n">
        <v>0</v>
      </c>
      <c r="D43" s="670" t="n">
        <v>0</v>
      </c>
      <c r="E43" s="670" t="n">
        <v>11955764348</v>
      </c>
      <c r="F43" s="670" t="n">
        <v>0</v>
      </c>
      <c r="G43" s="670" t="n">
        <v>11955764348</v>
      </c>
      <c r="H43" s="274" t="n"/>
      <c r="I43" s="364" t="n"/>
      <c r="J43" s="671" t="n"/>
      <c r="K43" s="274">
        <f>VLOOKUP($A43,[3]Sheet1!$A:$J,3,0)</f>
        <v/>
      </c>
      <c r="L43" s="274">
        <f>VLOOKUP($A43,[3]Sheet1!$A:$J,4,0)</f>
        <v/>
      </c>
      <c r="M43" s="274">
        <f>VLOOKUP($A43,[3]Sheet1!$A:$J,5,0)</f>
        <v/>
      </c>
      <c r="N43" s="274">
        <f>VLOOKUP($A43,[3]Sheet1!$A:$J,6,0)</f>
        <v/>
      </c>
      <c r="O43" s="274">
        <f>VLOOKUP($A43,[3]Sheet1!$A:$J,7,0)</f>
        <v/>
      </c>
      <c r="P43" s="274">
        <f>VLOOKUP($A43,[3]Sheet1!$A:$J,8,0)</f>
        <v/>
      </c>
      <c r="Q43" s="364" t="n"/>
      <c r="R43" s="672">
        <f>K43-B43</f>
        <v/>
      </c>
      <c r="S43" s="672">
        <f>L43-C43</f>
        <v/>
      </c>
      <c r="T43" s="672">
        <f>M43-D43</f>
        <v/>
      </c>
      <c r="U43" s="672">
        <f>N43-E43</f>
        <v/>
      </c>
      <c r="V43" s="672">
        <f>O43-F43</f>
        <v/>
      </c>
      <c r="W43" s="672">
        <f>P43-G43</f>
        <v/>
      </c>
      <c r="X43" s="332" t="n"/>
      <c r="Y43" s="332" t="n"/>
      <c r="Z43" s="332" t="n"/>
      <c r="AA43" s="332" t="n"/>
      <c r="AB43" s="332" t="n"/>
      <c r="AC43" s="332" t="n"/>
      <c r="AD43" s="332" t="n"/>
      <c r="AE43" s="332" t="n"/>
      <c r="AF43" s="332" t="n"/>
      <c r="AG43" s="332" t="n"/>
      <c r="AH43" s="332" t="n"/>
      <c r="AI43" s="332" t="n"/>
      <c r="AJ43" s="332" t="n"/>
      <c r="AK43" s="332" t="n"/>
    </row>
    <row r="44" s="373">
      <c r="A44" s="239" t="inlineStr">
        <is>
          <t>721001</t>
        </is>
      </c>
      <c r="B44" s="670" t="n">
        <v>0</v>
      </c>
      <c r="C44" s="670" t="n">
        <v>0</v>
      </c>
      <c r="D44" s="670" t="n">
        <v>0</v>
      </c>
      <c r="E44" s="670" t="n">
        <v>319885000</v>
      </c>
      <c r="F44" s="670" t="n">
        <v>0</v>
      </c>
      <c r="G44" s="670" t="n">
        <v>319885000</v>
      </c>
      <c r="H44" s="675">
        <f>G44-D48</f>
        <v/>
      </c>
      <c r="I44" s="364" t="n"/>
      <c r="J44" s="671" t="n"/>
      <c r="K44" s="274">
        <f>VLOOKUP($A44,[3]Sheet1!$A:$J,3,0)</f>
        <v/>
      </c>
      <c r="L44" s="274">
        <f>VLOOKUP($A44,[3]Sheet1!$A:$J,4,0)</f>
        <v/>
      </c>
      <c r="M44" s="274">
        <f>VLOOKUP($A44,[3]Sheet1!$A:$J,5,0)</f>
        <v/>
      </c>
      <c r="N44" s="274">
        <f>VLOOKUP($A44,[3]Sheet1!$A:$J,6,0)</f>
        <v/>
      </c>
      <c r="O44" s="274">
        <f>VLOOKUP($A44,[3]Sheet1!$A:$J,7,0)</f>
        <v/>
      </c>
      <c r="P44" s="274">
        <f>VLOOKUP($A44,[3]Sheet1!$A:$J,8,0)</f>
        <v/>
      </c>
      <c r="Q44" s="364" t="n"/>
      <c r="R44" s="672">
        <f>K44-B44</f>
        <v/>
      </c>
      <c r="S44" s="672">
        <f>L44-C44</f>
        <v/>
      </c>
      <c r="T44" s="672">
        <f>M44-D44</f>
        <v/>
      </c>
      <c r="U44" s="672">
        <f>N44-E44</f>
        <v/>
      </c>
      <c r="V44" s="672">
        <f>O44-F44</f>
        <v/>
      </c>
      <c r="W44" s="672">
        <f>P44-G44</f>
        <v/>
      </c>
      <c r="X44" s="332" t="n"/>
      <c r="Y44" s="332" t="n"/>
      <c r="Z44" s="332" t="n"/>
      <c r="AA44" s="332" t="n"/>
      <c r="AB44" s="332" t="n"/>
      <c r="AC44" s="332" t="n"/>
      <c r="AD44" s="332" t="n"/>
      <c r="AE44" s="332" t="n"/>
      <c r="AF44" s="332" t="n"/>
      <c r="AG44" s="332" t="n"/>
      <c r="AH44" s="332" t="n"/>
      <c r="AI44" s="332" t="n"/>
      <c r="AJ44" s="332" t="n"/>
      <c r="AK44" s="332" t="n"/>
    </row>
    <row r="45" s="373">
      <c r="A45" s="239" t="inlineStr">
        <is>
          <t>790001</t>
        </is>
      </c>
      <c r="B45" s="670" t="n">
        <v>0</v>
      </c>
      <c r="C45" s="670" t="n">
        <v>0</v>
      </c>
      <c r="D45" s="670" t="n">
        <v>0</v>
      </c>
      <c r="E45" s="670" t="n">
        <v>0</v>
      </c>
      <c r="F45" s="670" t="n">
        <v>0</v>
      </c>
      <c r="G45" s="670" t="n">
        <v>0</v>
      </c>
      <c r="H45" s="274" t="n"/>
      <c r="I45" s="364" t="n"/>
      <c r="J45" s="671" t="n"/>
      <c r="K45" s="274" t="n"/>
      <c r="L45" s="274" t="n"/>
      <c r="M45" s="274" t="n"/>
      <c r="N45" s="274" t="n"/>
      <c r="O45" s="274" t="n"/>
      <c r="P45" s="274" t="n"/>
      <c r="Q45" s="364" t="n"/>
      <c r="R45" s="672">
        <f>K45-B45</f>
        <v/>
      </c>
      <c r="S45" s="672">
        <f>L45-C45</f>
        <v/>
      </c>
      <c r="T45" s="672">
        <f>M45-D45</f>
        <v/>
      </c>
      <c r="U45" s="672">
        <f>N45-E45</f>
        <v/>
      </c>
      <c r="V45" s="672">
        <f>O45-F45</f>
        <v/>
      </c>
      <c r="W45" s="672">
        <f>P45-G45</f>
        <v/>
      </c>
      <c r="X45" s="332" t="n"/>
      <c r="Y45" s="332" t="n"/>
      <c r="Z45" s="332" t="n"/>
      <c r="AA45" s="332" t="n"/>
      <c r="AB45" s="332" t="n"/>
      <c r="AC45" s="332" t="n"/>
      <c r="AD45" s="332" t="n"/>
      <c r="AE45" s="332" t="n"/>
      <c r="AF45" s="332" t="n"/>
      <c r="AG45" s="332" t="n"/>
      <c r="AH45" s="332" t="n"/>
      <c r="AI45" s="332" t="n"/>
      <c r="AJ45" s="332" t="n"/>
      <c r="AK45" s="332" t="n"/>
    </row>
    <row r="46" s="373">
      <c r="A46" s="239" t="inlineStr">
        <is>
          <t>790006</t>
        </is>
      </c>
      <c r="B46" s="670" t="n">
        <v>0</v>
      </c>
      <c r="C46" s="670" t="n">
        <v>0</v>
      </c>
      <c r="D46" s="670" t="n">
        <v>0</v>
      </c>
      <c r="E46" s="670" t="n">
        <v>0</v>
      </c>
      <c r="F46" s="670" t="n">
        <v>0</v>
      </c>
      <c r="G46" s="670" t="n">
        <v>0</v>
      </c>
      <c r="H46" s="274" t="n"/>
      <c r="I46" s="364" t="n"/>
      <c r="J46" s="671" t="n"/>
      <c r="K46" s="274" t="n"/>
      <c r="L46" s="274" t="n"/>
      <c r="M46" s="274" t="n"/>
      <c r="N46" s="274" t="n"/>
      <c r="O46" s="274" t="n"/>
      <c r="P46" s="274" t="n"/>
      <c r="Q46" s="364" t="n"/>
      <c r="R46" s="672">
        <f>K46-B46</f>
        <v/>
      </c>
      <c r="S46" s="672">
        <f>L46-C46</f>
        <v/>
      </c>
      <c r="T46" s="672">
        <f>M46-D46</f>
        <v/>
      </c>
      <c r="U46" s="672">
        <f>N46-E46</f>
        <v/>
      </c>
      <c r="V46" s="672">
        <f>O46-F46</f>
        <v/>
      </c>
      <c r="W46" s="672">
        <f>P46-G46</f>
        <v/>
      </c>
      <c r="X46" s="332" t="n"/>
      <c r="Y46" s="332" t="n"/>
      <c r="Z46" s="332" t="n"/>
      <c r="AA46" s="332" t="n"/>
      <c r="AB46" s="332" t="n"/>
      <c r="AC46" s="332" t="n"/>
      <c r="AD46" s="332" t="n"/>
      <c r="AE46" s="332" t="n"/>
      <c r="AF46" s="332" t="n"/>
      <c r="AG46" s="332" t="n"/>
      <c r="AH46" s="332" t="n"/>
      <c r="AI46" s="332" t="n"/>
      <c r="AJ46" s="332" t="n"/>
      <c r="AK46" s="332" t="n"/>
    </row>
    <row r="47" s="373">
      <c r="A47" s="239" t="inlineStr">
        <is>
          <t>811001</t>
        </is>
      </c>
      <c r="B47" s="670" t="n">
        <v>0</v>
      </c>
      <c r="C47" s="670" t="n">
        <v>0</v>
      </c>
      <c r="D47" s="670" t="n">
        <v>2419176930</v>
      </c>
      <c r="E47" s="670" t="n">
        <v>0</v>
      </c>
      <c r="F47" s="670" t="n">
        <v>2419176930</v>
      </c>
      <c r="G47" s="670" t="n">
        <v>0</v>
      </c>
      <c r="H47" s="274" t="n"/>
      <c r="I47" s="364" t="n"/>
      <c r="J47" s="671" t="n"/>
      <c r="K47" s="274">
        <f>VLOOKUP($A47,[3]Sheet1!$A:$J,3,0)</f>
        <v/>
      </c>
      <c r="L47" s="274">
        <f>VLOOKUP($A47,[3]Sheet1!$A:$J,4,0)</f>
        <v/>
      </c>
      <c r="M47" s="274">
        <f>VLOOKUP($A47,[3]Sheet1!$A:$J,5,0)</f>
        <v/>
      </c>
      <c r="N47" s="274">
        <f>VLOOKUP($A47,[3]Sheet1!$A:$J,6,0)</f>
        <v/>
      </c>
      <c r="O47" s="274">
        <f>VLOOKUP($A47,[3]Sheet1!$A:$J,7,0)</f>
        <v/>
      </c>
      <c r="P47" s="274">
        <f>VLOOKUP($A47,[3]Sheet1!$A:$J,8,0)</f>
        <v/>
      </c>
      <c r="Q47" s="364" t="n"/>
      <c r="R47" s="672">
        <f>K47-B47</f>
        <v/>
      </c>
      <c r="S47" s="672">
        <f>L47-C47</f>
        <v/>
      </c>
      <c r="T47" s="672">
        <f>M47-D47</f>
        <v/>
      </c>
      <c r="U47" s="672">
        <f>N47-E47</f>
        <v/>
      </c>
      <c r="V47" s="672">
        <f>O47-F47</f>
        <v/>
      </c>
      <c r="W47" s="672">
        <f>P47-G47</f>
        <v/>
      </c>
      <c r="X47" s="332" t="n"/>
      <c r="Y47" s="332" t="n"/>
      <c r="Z47" s="332" t="n"/>
      <c r="AA47" s="332" t="n"/>
      <c r="AB47" s="332" t="n"/>
      <c r="AC47" s="332" t="n"/>
      <c r="AD47" s="332" t="n"/>
      <c r="AE47" s="332" t="n"/>
      <c r="AF47" s="332" t="n"/>
      <c r="AG47" s="332" t="n"/>
      <c r="AH47" s="332" t="n"/>
      <c r="AI47" s="332" t="n"/>
      <c r="AJ47" s="332" t="n"/>
      <c r="AK47" s="332" t="n"/>
    </row>
    <row r="48" s="373">
      <c r="A48" s="239" t="inlineStr">
        <is>
          <t>821001</t>
        </is>
      </c>
      <c r="B48" s="670" t="n">
        <v>0</v>
      </c>
      <c r="C48" s="670" t="n">
        <v>0</v>
      </c>
      <c r="D48" s="670" t="n">
        <v>60403</v>
      </c>
      <c r="E48" s="670" t="n">
        <v>0</v>
      </c>
      <c r="F48" s="670" t="n">
        <v>60403</v>
      </c>
      <c r="G48" s="670" t="n">
        <v>0</v>
      </c>
      <c r="H48" s="675">
        <f>D49+D50+SUM(D53:D83)-E80-E81-E61-E83-E54-E55-E70-E73-E78-E75-E72</f>
        <v/>
      </c>
      <c r="I48" s="364" t="n"/>
      <c r="J48" s="671" t="n"/>
      <c r="K48" s="274">
        <f>VLOOKUP($A48,[3]Sheet1!$A:$J,3,0)</f>
        <v/>
      </c>
      <c r="L48" s="274">
        <f>VLOOKUP($A48,[3]Sheet1!$A:$J,4,0)</f>
        <v/>
      </c>
      <c r="M48" s="274">
        <f>VLOOKUP($A48,[3]Sheet1!$A:$J,5,0)</f>
        <v/>
      </c>
      <c r="N48" s="274">
        <f>VLOOKUP($A48,[3]Sheet1!$A:$J,6,0)</f>
        <v/>
      </c>
      <c r="O48" s="274">
        <f>VLOOKUP($A48,[3]Sheet1!$A:$J,7,0)</f>
        <v/>
      </c>
      <c r="P48" s="274">
        <f>VLOOKUP($A48,[3]Sheet1!$A:$J,8,0)</f>
        <v/>
      </c>
      <c r="Q48" s="364" t="n"/>
      <c r="R48" s="672">
        <f>K48-B48</f>
        <v/>
      </c>
      <c r="S48" s="672">
        <f>L48-C48</f>
        <v/>
      </c>
      <c r="T48" s="672">
        <f>M48-D48</f>
        <v/>
      </c>
      <c r="U48" s="672">
        <f>N48-E48</f>
        <v/>
      </c>
      <c r="V48" s="672">
        <f>O48-F48</f>
        <v/>
      </c>
      <c r="W48" s="672">
        <f>P48-G48</f>
        <v/>
      </c>
      <c r="X48" s="332" t="n"/>
      <c r="Y48" s="332" t="n"/>
      <c r="Z48" s="332" t="n"/>
      <c r="AA48" s="332" t="n"/>
      <c r="AB48" s="332" t="n"/>
      <c r="AC48" s="332" t="n"/>
      <c r="AD48" s="332" t="n"/>
      <c r="AE48" s="332" t="n"/>
      <c r="AF48" s="332" t="n"/>
      <c r="AG48" s="332" t="n"/>
      <c r="AH48" s="332" t="n"/>
      <c r="AI48" s="332" t="n"/>
      <c r="AJ48" s="332" t="n"/>
      <c r="AK48" s="332" t="n"/>
    </row>
    <row r="49" s="373">
      <c r="A49" s="239" t="inlineStr">
        <is>
          <t>831002</t>
        </is>
      </c>
      <c r="B49" s="670" t="n">
        <v>0</v>
      </c>
      <c r="C49" s="670" t="n">
        <v>0</v>
      </c>
      <c r="D49" s="670" t="n">
        <v>0</v>
      </c>
      <c r="E49" s="670" t="n">
        <v>0</v>
      </c>
      <c r="F49" s="670" t="n">
        <v>0</v>
      </c>
      <c r="G49" s="670" t="n">
        <v>0</v>
      </c>
      <c r="H49" s="274" t="n"/>
      <c r="I49" s="364" t="n"/>
      <c r="J49" s="671" t="n"/>
      <c r="K49" s="274">
        <f>VLOOKUP($A49,[3]Sheet1!$A:$J,3,0)</f>
        <v/>
      </c>
      <c r="L49" s="274">
        <f>VLOOKUP($A49,[3]Sheet1!$A:$J,4,0)</f>
        <v/>
      </c>
      <c r="M49" s="274">
        <f>VLOOKUP($A49,[3]Sheet1!$A:$J,5,0)</f>
        <v/>
      </c>
      <c r="N49" s="274">
        <f>VLOOKUP($A49,[3]Sheet1!$A:$J,6,0)</f>
        <v/>
      </c>
      <c r="O49" s="274">
        <f>VLOOKUP($A49,[3]Sheet1!$A:$J,7,0)</f>
        <v/>
      </c>
      <c r="P49" s="274">
        <f>VLOOKUP($A49,[3]Sheet1!$A:$J,8,0)</f>
        <v/>
      </c>
      <c r="Q49" s="364" t="n"/>
      <c r="R49" s="672">
        <f>K49-B49</f>
        <v/>
      </c>
      <c r="S49" s="672">
        <f>L49-C49</f>
        <v/>
      </c>
      <c r="T49" s="672">
        <f>M49-D49</f>
        <v/>
      </c>
      <c r="U49" s="672">
        <f>N49-E49</f>
        <v/>
      </c>
      <c r="V49" s="672">
        <f>O49-F49</f>
        <v/>
      </c>
      <c r="W49" s="672">
        <f>P49-G49</f>
        <v/>
      </c>
      <c r="X49" s="332" t="n"/>
      <c r="Y49" s="332" t="n"/>
      <c r="Z49" s="332" t="n"/>
      <c r="AA49" s="332" t="n"/>
      <c r="AB49" s="332" t="n"/>
      <c r="AC49" s="332" t="n"/>
      <c r="AD49" s="332" t="n"/>
      <c r="AE49" s="332" t="n"/>
      <c r="AF49" s="332" t="n"/>
      <c r="AG49" s="332" t="n"/>
      <c r="AH49" s="332" t="n"/>
      <c r="AI49" s="332" t="n"/>
      <c r="AJ49" s="332" t="n"/>
      <c r="AK49" s="332" t="n"/>
    </row>
    <row r="50" s="373">
      <c r="A50" s="239" t="inlineStr">
        <is>
          <t>832099</t>
        </is>
      </c>
      <c r="B50" s="670" t="n">
        <v>0</v>
      </c>
      <c r="C50" s="670" t="n">
        <v>0</v>
      </c>
      <c r="D50" s="670" t="n">
        <v>1800000</v>
      </c>
      <c r="E50" s="670" t="n">
        <v>0</v>
      </c>
      <c r="F50" s="670" t="n">
        <v>1800000</v>
      </c>
      <c r="G50" s="670" t="n">
        <v>0</v>
      </c>
      <c r="H50" s="274" t="n"/>
      <c r="I50" s="364" t="n"/>
      <c r="J50" s="671" t="n"/>
      <c r="K50" s="274">
        <f>VLOOKUP($A50,[3]Sheet1!$A:$J,3,0)</f>
        <v/>
      </c>
      <c r="L50" s="274">
        <f>VLOOKUP($A50,[3]Sheet1!$A:$J,4,0)</f>
        <v/>
      </c>
      <c r="M50" s="274">
        <f>VLOOKUP($A50,[3]Sheet1!$A:$J,5,0)</f>
        <v/>
      </c>
      <c r="N50" s="274">
        <f>VLOOKUP($A50,[3]Sheet1!$A:$J,6,0)</f>
        <v/>
      </c>
      <c r="O50" s="274">
        <f>VLOOKUP($A50,[3]Sheet1!$A:$J,7,0)</f>
        <v/>
      </c>
      <c r="P50" s="274">
        <f>VLOOKUP($A50,[3]Sheet1!$A:$J,8,0)</f>
        <v/>
      </c>
      <c r="Q50" s="364" t="n"/>
      <c r="R50" s="672">
        <f>K50-B50</f>
        <v/>
      </c>
      <c r="S50" s="672">
        <f>L50-C50</f>
        <v/>
      </c>
      <c r="T50" s="672">
        <f>M50-D50</f>
        <v/>
      </c>
      <c r="U50" s="672">
        <f>N50-E50</f>
        <v/>
      </c>
      <c r="V50" s="672">
        <f>O50-F50</f>
        <v/>
      </c>
      <c r="W50" s="672">
        <f>P50-G50</f>
        <v/>
      </c>
      <c r="X50" s="332" t="n"/>
      <c r="Y50" s="332" t="n"/>
      <c r="Z50" s="332" t="n"/>
      <c r="AA50" s="332" t="n"/>
      <c r="AB50" s="332" t="n"/>
      <c r="AC50" s="332" t="n"/>
      <c r="AD50" s="332" t="n"/>
      <c r="AE50" s="332" t="n"/>
      <c r="AF50" s="332" t="n"/>
      <c r="AG50" s="332" t="n"/>
      <c r="AH50" s="332" t="n"/>
      <c r="AI50" s="332" t="n"/>
      <c r="AJ50" s="332" t="n"/>
      <c r="AK50" s="332" t="n"/>
    </row>
    <row r="51" s="373">
      <c r="A51" s="239" t="inlineStr">
        <is>
          <t>833101</t>
        </is>
      </c>
      <c r="B51" s="670" t="n">
        <v>0</v>
      </c>
      <c r="C51" s="670" t="n">
        <v>0</v>
      </c>
      <c r="D51" s="670" t="n">
        <v>778687531</v>
      </c>
      <c r="E51" s="670" t="n">
        <v>0</v>
      </c>
      <c r="F51" s="670" t="n">
        <v>778687531</v>
      </c>
      <c r="G51" s="670" t="n">
        <v>0</v>
      </c>
      <c r="H51" s="274" t="n"/>
      <c r="I51" s="364" t="n"/>
      <c r="J51" s="671" t="n"/>
      <c r="K51" s="274">
        <f>VLOOKUP($A51,[3]Sheet1!$A:$J,3,0)</f>
        <v/>
      </c>
      <c r="L51" s="274">
        <f>VLOOKUP($A51,[3]Sheet1!$A:$J,4,0)</f>
        <v/>
      </c>
      <c r="M51" s="274">
        <f>VLOOKUP($A51,[3]Sheet1!$A:$J,5,0)</f>
        <v/>
      </c>
      <c r="N51" s="274">
        <f>VLOOKUP($A51,[3]Sheet1!$A:$J,6,0)</f>
        <v/>
      </c>
      <c r="O51" s="274">
        <f>VLOOKUP($A51,[3]Sheet1!$A:$J,7,0)</f>
        <v/>
      </c>
      <c r="P51" s="274">
        <f>VLOOKUP($A51,[3]Sheet1!$A:$J,8,0)</f>
        <v/>
      </c>
      <c r="Q51" s="364" t="n"/>
      <c r="R51" s="672">
        <f>K51-B51</f>
        <v/>
      </c>
      <c r="S51" s="672">
        <f>L51-C51</f>
        <v/>
      </c>
      <c r="T51" s="672">
        <f>M51-D51</f>
        <v/>
      </c>
      <c r="U51" s="672">
        <f>N51-E51</f>
        <v/>
      </c>
      <c r="V51" s="672">
        <f>O51-F51</f>
        <v/>
      </c>
      <c r="W51" s="672">
        <f>P51-G51</f>
        <v/>
      </c>
      <c r="X51" s="332" t="n"/>
      <c r="Y51" s="332" t="n"/>
      <c r="Z51" s="332" t="n"/>
      <c r="AA51" s="332" t="n"/>
      <c r="AB51" s="332" t="n"/>
      <c r="AC51" s="332" t="n"/>
      <c r="AD51" s="332" t="n"/>
      <c r="AE51" s="332" t="n"/>
      <c r="AF51" s="332" t="n"/>
      <c r="AG51" s="332" t="n"/>
      <c r="AH51" s="332" t="n"/>
      <c r="AI51" s="332" t="n"/>
      <c r="AJ51" s="332" t="n"/>
      <c r="AK51" s="332" t="n"/>
    </row>
    <row r="52" s="373">
      <c r="A52" s="305" t="inlineStr">
        <is>
          <t>849001</t>
        </is>
      </c>
      <c r="B52" s="670" t="n">
        <v>0</v>
      </c>
      <c r="C52" s="670" t="n">
        <v>0</v>
      </c>
      <c r="D52" s="670" t="n">
        <v>0</v>
      </c>
      <c r="E52" s="670" t="n">
        <v>0</v>
      </c>
      <c r="F52" s="670" t="n">
        <v>0</v>
      </c>
      <c r="G52" s="670" t="n">
        <v>0</v>
      </c>
      <c r="H52" s="274" t="n"/>
      <c r="I52" s="364" t="n"/>
      <c r="J52" s="671" t="n"/>
      <c r="K52" s="274" t="n"/>
      <c r="L52" s="274" t="n"/>
      <c r="M52" s="274" t="n"/>
      <c r="N52" s="274" t="n"/>
      <c r="O52" s="274" t="n"/>
      <c r="P52" s="274" t="n"/>
      <c r="Q52" s="364" t="n"/>
      <c r="R52" s="672">
        <f>K52-B52</f>
        <v/>
      </c>
      <c r="S52" s="672">
        <f>L52-C52</f>
        <v/>
      </c>
      <c r="T52" s="672">
        <f>M52-D52</f>
        <v/>
      </c>
      <c r="U52" s="672">
        <f>N52-E52</f>
        <v/>
      </c>
      <c r="V52" s="672">
        <f>O52-F52</f>
        <v/>
      </c>
      <c r="W52" s="672">
        <f>P52-G52</f>
        <v/>
      </c>
      <c r="X52" s="332" t="n"/>
      <c r="Y52" s="332" t="n"/>
      <c r="Z52" s="332" t="n"/>
      <c r="AA52" s="332" t="n"/>
      <c r="AB52" s="332" t="n"/>
      <c r="AC52" s="332" t="n"/>
      <c r="AD52" s="332" t="n"/>
      <c r="AE52" s="332" t="n"/>
      <c r="AF52" s="332" t="n"/>
      <c r="AG52" s="332" t="n"/>
      <c r="AH52" s="332" t="n"/>
      <c r="AI52" s="332" t="n"/>
      <c r="AJ52" s="332" t="n"/>
      <c r="AK52" s="332" t="n"/>
    </row>
    <row r="53" s="373">
      <c r="A53" s="239" t="inlineStr">
        <is>
          <t>851103</t>
        </is>
      </c>
      <c r="B53" s="670" t="n">
        <v>0</v>
      </c>
      <c r="C53" s="670" t="n">
        <v>0</v>
      </c>
      <c r="D53" s="670" t="n">
        <v>3880998000</v>
      </c>
      <c r="E53" s="670" t="n">
        <v>0</v>
      </c>
      <c r="F53" s="670" t="n">
        <v>3880998000</v>
      </c>
      <c r="G53" s="670" t="n">
        <v>0</v>
      </c>
      <c r="H53" s="274" t="n"/>
      <c r="I53" s="364" t="n"/>
      <c r="J53" s="671" t="n"/>
      <c r="K53" s="274">
        <f>VLOOKUP($A53,[3]Sheet1!$A:$J,3,0)</f>
        <v/>
      </c>
      <c r="L53" s="274">
        <f>VLOOKUP($A53,[3]Sheet1!$A:$J,4,0)</f>
        <v/>
      </c>
      <c r="M53" s="274">
        <f>VLOOKUP($A53,[3]Sheet1!$A:$J,5,0)</f>
        <v/>
      </c>
      <c r="N53" s="274">
        <f>VLOOKUP($A53,[3]Sheet1!$A:$J,6,0)</f>
        <v/>
      </c>
      <c r="O53" s="274">
        <f>VLOOKUP($A53,[3]Sheet1!$A:$J,7,0)</f>
        <v/>
      </c>
      <c r="P53" s="274">
        <f>VLOOKUP($A53,[3]Sheet1!$A:$J,8,0)</f>
        <v/>
      </c>
      <c r="Q53" s="364" t="n"/>
      <c r="R53" s="672">
        <f>K53-B53</f>
        <v/>
      </c>
      <c r="S53" s="672">
        <f>L53-C53</f>
        <v/>
      </c>
      <c r="T53" s="672">
        <f>M53-D53</f>
        <v/>
      </c>
      <c r="U53" s="672">
        <f>N53-E53</f>
        <v/>
      </c>
      <c r="V53" s="672">
        <f>O53-F53</f>
        <v/>
      </c>
      <c r="W53" s="672">
        <f>P53-G53</f>
        <v/>
      </c>
      <c r="X53" s="332" t="n"/>
      <c r="Y53" s="332" t="n"/>
      <c r="Z53" s="332" t="n"/>
      <c r="AA53" s="332" t="n"/>
      <c r="AB53" s="332" t="n"/>
      <c r="AC53" s="332" t="n"/>
      <c r="AD53" s="332" t="n"/>
      <c r="AE53" s="332" t="n"/>
      <c r="AF53" s="332" t="n"/>
      <c r="AG53" s="332" t="n"/>
      <c r="AH53" s="332" t="n"/>
      <c r="AI53" s="332" t="n"/>
      <c r="AJ53" s="332" t="n"/>
      <c r="AK53" s="332" t="n"/>
    </row>
    <row r="54" s="373">
      <c r="A54" s="239" t="inlineStr">
        <is>
          <t>851104</t>
        </is>
      </c>
      <c r="B54" s="670" t="n">
        <v>0</v>
      </c>
      <c r="C54" s="670" t="n">
        <v>0</v>
      </c>
      <c r="D54" s="670" t="n">
        <v>0</v>
      </c>
      <c r="E54" s="670" t="n">
        <v>0</v>
      </c>
      <c r="F54" s="670" t="n">
        <v>0</v>
      </c>
      <c r="G54" s="670" t="n">
        <v>0</v>
      </c>
      <c r="H54" s="274" t="n"/>
      <c r="I54" s="364" t="n"/>
      <c r="J54" s="671" t="n"/>
      <c r="K54" s="274" t="n"/>
      <c r="L54" s="274" t="n"/>
      <c r="M54" s="274" t="n"/>
      <c r="N54" s="274" t="n"/>
      <c r="O54" s="274" t="n"/>
      <c r="P54" s="274" t="n"/>
      <c r="Q54" s="364" t="n"/>
      <c r="R54" s="672">
        <f>K54-B54</f>
        <v/>
      </c>
      <c r="S54" s="672">
        <f>L54-C54</f>
        <v/>
      </c>
      <c r="T54" s="672">
        <f>M54-D54</f>
        <v/>
      </c>
      <c r="U54" s="672">
        <f>N54-E54</f>
        <v/>
      </c>
      <c r="V54" s="672">
        <f>O54-F54</f>
        <v/>
      </c>
      <c r="W54" s="672">
        <f>P54-G54</f>
        <v/>
      </c>
      <c r="X54" s="332" t="n"/>
      <c r="Y54" s="332" t="n"/>
      <c r="Z54" s="332" t="n"/>
      <c r="AA54" s="332" t="n"/>
      <c r="AB54" s="332" t="n"/>
      <c r="AC54" s="332" t="n"/>
      <c r="AD54" s="332" t="n"/>
      <c r="AE54" s="332" t="n"/>
      <c r="AF54" s="332" t="n"/>
      <c r="AG54" s="332" t="n"/>
      <c r="AH54" s="332" t="n"/>
      <c r="AI54" s="332" t="n"/>
      <c r="AJ54" s="332" t="n"/>
      <c r="AK54" s="332" t="n"/>
    </row>
    <row r="55" s="373">
      <c r="A55" s="239" t="inlineStr">
        <is>
          <t>852001</t>
        </is>
      </c>
      <c r="B55" s="670" t="n">
        <v>0</v>
      </c>
      <c r="C55" s="670" t="n">
        <v>0</v>
      </c>
      <c r="D55" s="670" t="n">
        <v>185000000</v>
      </c>
      <c r="E55" s="670" t="n">
        <v>0</v>
      </c>
      <c r="F55" s="670" t="n">
        <v>185000000</v>
      </c>
      <c r="G55" s="670" t="n">
        <v>0</v>
      </c>
      <c r="H55" s="274" t="n"/>
      <c r="I55" s="364" t="n"/>
      <c r="J55" s="671" t="n"/>
      <c r="K55" s="274">
        <f>VLOOKUP($A55,[3]Sheet1!$A:$J,3,0)</f>
        <v/>
      </c>
      <c r="L55" s="274">
        <f>VLOOKUP($A55,[3]Sheet1!$A:$J,4,0)</f>
        <v/>
      </c>
      <c r="M55" s="274">
        <f>VLOOKUP($A55,[3]Sheet1!$A:$J,5,0)</f>
        <v/>
      </c>
      <c r="N55" s="274">
        <f>VLOOKUP($A55,[3]Sheet1!$A:$J,6,0)</f>
        <v/>
      </c>
      <c r="O55" s="274">
        <f>VLOOKUP($A55,[3]Sheet1!$A:$J,7,0)</f>
        <v/>
      </c>
      <c r="P55" s="274">
        <f>VLOOKUP($A55,[3]Sheet1!$A:$J,8,0)</f>
        <v/>
      </c>
      <c r="Q55" s="364" t="n"/>
      <c r="R55" s="672">
        <f>K55-B55</f>
        <v/>
      </c>
      <c r="S55" s="672">
        <f>L55-C55</f>
        <v/>
      </c>
      <c r="T55" s="672">
        <f>M55-D55</f>
        <v/>
      </c>
      <c r="U55" s="672">
        <f>N55-E55</f>
        <v/>
      </c>
      <c r="V55" s="672">
        <f>O55-F55</f>
        <v/>
      </c>
      <c r="W55" s="672">
        <f>P55-G55</f>
        <v/>
      </c>
      <c r="X55" s="332" t="n"/>
      <c r="Y55" s="332" t="n"/>
      <c r="Z55" s="332" t="n"/>
      <c r="AA55" s="332" t="n"/>
      <c r="AB55" s="332" t="n"/>
      <c r="AC55" s="332" t="n"/>
      <c r="AD55" s="332" t="n"/>
      <c r="AE55" s="332" t="n"/>
      <c r="AF55" s="332" t="n"/>
      <c r="AG55" s="332" t="n"/>
      <c r="AH55" s="332" t="n"/>
      <c r="AI55" s="332" t="n"/>
      <c r="AJ55" s="332" t="n"/>
      <c r="AK55" s="332" t="n"/>
    </row>
    <row r="56" s="373">
      <c r="A56" s="239" t="inlineStr">
        <is>
          <t>853101</t>
        </is>
      </c>
      <c r="B56" s="670" t="n">
        <v>0</v>
      </c>
      <c r="C56" s="670" t="n">
        <v>0</v>
      </c>
      <c r="D56" s="670" t="n">
        <v>190078350</v>
      </c>
      <c r="E56" s="670" t="n">
        <v>0</v>
      </c>
      <c r="F56" s="670" t="n">
        <v>190078350</v>
      </c>
      <c r="G56" s="670" t="n">
        <v>0</v>
      </c>
      <c r="H56" s="274" t="n"/>
      <c r="I56" s="364" t="n"/>
      <c r="J56" s="671" t="n"/>
      <c r="K56" s="274">
        <f>VLOOKUP($A56,[3]Sheet1!$A:$J,3,0)</f>
        <v/>
      </c>
      <c r="L56" s="274">
        <f>VLOOKUP($A56,[3]Sheet1!$A:$J,4,0)</f>
        <v/>
      </c>
      <c r="M56" s="274">
        <f>VLOOKUP($A56,[3]Sheet1!$A:$J,5,0)</f>
        <v/>
      </c>
      <c r="N56" s="274">
        <f>VLOOKUP($A56,[3]Sheet1!$A:$J,6,0)</f>
        <v/>
      </c>
      <c r="O56" s="274">
        <f>VLOOKUP($A56,[3]Sheet1!$A:$J,7,0)</f>
        <v/>
      </c>
      <c r="P56" s="274">
        <f>VLOOKUP($A56,[3]Sheet1!$A:$J,8,0)</f>
        <v/>
      </c>
      <c r="Q56" s="364" t="n"/>
      <c r="R56" s="672">
        <f>K56-B56</f>
        <v/>
      </c>
      <c r="S56" s="672">
        <f>L56-C56</f>
        <v/>
      </c>
      <c r="T56" s="672">
        <f>M56-D56</f>
        <v/>
      </c>
      <c r="U56" s="672">
        <f>N56-E56</f>
        <v/>
      </c>
      <c r="V56" s="672">
        <f>O56-F56</f>
        <v/>
      </c>
      <c r="W56" s="672">
        <f>P56-G56</f>
        <v/>
      </c>
      <c r="X56" s="332" t="n"/>
      <c r="Y56" s="332" t="n"/>
      <c r="Z56" s="332" t="n"/>
      <c r="AA56" s="332" t="n"/>
      <c r="AB56" s="332" t="n"/>
      <c r="AC56" s="332" t="n"/>
      <c r="AD56" s="332" t="n"/>
      <c r="AE56" s="332" t="n"/>
      <c r="AF56" s="332" t="n"/>
      <c r="AG56" s="332" t="n"/>
      <c r="AH56" s="332" t="n"/>
      <c r="AI56" s="332" t="n"/>
      <c r="AJ56" s="332" t="n"/>
      <c r="AK56" s="332" t="n"/>
    </row>
    <row r="57" s="373">
      <c r="A57" s="239" t="inlineStr">
        <is>
          <t>853201</t>
        </is>
      </c>
      <c r="B57" s="670" t="n">
        <v>0</v>
      </c>
      <c r="C57" s="670" t="n">
        <v>0</v>
      </c>
      <c r="D57" s="670" t="n">
        <v>32584860</v>
      </c>
      <c r="E57" s="670" t="n">
        <v>0</v>
      </c>
      <c r="F57" s="670" t="n">
        <v>32584860</v>
      </c>
      <c r="G57" s="670" t="n">
        <v>0</v>
      </c>
      <c r="H57" s="274" t="n"/>
      <c r="I57" s="364" t="n"/>
      <c r="J57" s="671" t="n"/>
      <c r="K57" s="274">
        <f>VLOOKUP($A57,[3]Sheet1!$A:$J,3,0)</f>
        <v/>
      </c>
      <c r="L57" s="274">
        <f>VLOOKUP($A57,[3]Sheet1!$A:$J,4,0)</f>
        <v/>
      </c>
      <c r="M57" s="274">
        <f>VLOOKUP($A57,[3]Sheet1!$A:$J,5,0)</f>
        <v/>
      </c>
      <c r="N57" s="274">
        <f>VLOOKUP($A57,[3]Sheet1!$A:$J,6,0)</f>
        <v/>
      </c>
      <c r="O57" s="274">
        <f>VLOOKUP($A57,[3]Sheet1!$A:$J,7,0)</f>
        <v/>
      </c>
      <c r="P57" s="274">
        <f>VLOOKUP($A57,[3]Sheet1!$A:$J,8,0)</f>
        <v/>
      </c>
      <c r="Q57" s="364" t="n"/>
      <c r="R57" s="672">
        <f>K57-B57</f>
        <v/>
      </c>
      <c r="S57" s="672">
        <f>L57-C57</f>
        <v/>
      </c>
      <c r="T57" s="672">
        <f>M57-D57</f>
        <v/>
      </c>
      <c r="U57" s="672">
        <f>N57-E57</f>
        <v/>
      </c>
      <c r="V57" s="672">
        <f>O57-F57</f>
        <v/>
      </c>
      <c r="W57" s="672">
        <f>P57-G57</f>
        <v/>
      </c>
      <c r="X57" s="332" t="n"/>
      <c r="Y57" s="332" t="n"/>
      <c r="Z57" s="332" t="n"/>
      <c r="AA57" s="332" t="n"/>
      <c r="AB57" s="332" t="n"/>
      <c r="AC57" s="332" t="n"/>
      <c r="AD57" s="332" t="n"/>
      <c r="AE57" s="332" t="n"/>
      <c r="AF57" s="332" t="n"/>
      <c r="AG57" s="332" t="n"/>
      <c r="AH57" s="332" t="n"/>
      <c r="AI57" s="332" t="n"/>
      <c r="AJ57" s="332" t="n"/>
      <c r="AK57" s="332" t="n"/>
    </row>
    <row r="58" s="373">
      <c r="A58" s="239" t="inlineStr">
        <is>
          <t>853401</t>
        </is>
      </c>
      <c r="B58" s="670" t="n">
        <v>0</v>
      </c>
      <c r="C58" s="670" t="n">
        <v>0</v>
      </c>
      <c r="D58" s="670" t="n">
        <v>21723160</v>
      </c>
      <c r="E58" s="670" t="n">
        <v>0</v>
      </c>
      <c r="F58" s="670" t="n">
        <v>21723160</v>
      </c>
      <c r="G58" s="670" t="n">
        <v>0</v>
      </c>
      <c r="H58" s="274" t="n"/>
      <c r="I58" s="364" t="n"/>
      <c r="J58" s="671" t="n"/>
      <c r="K58" s="274">
        <f>VLOOKUP($A58,[3]Sheet1!$A:$J,3,0)</f>
        <v/>
      </c>
      <c r="L58" s="274">
        <f>VLOOKUP($A58,[3]Sheet1!$A:$J,4,0)</f>
        <v/>
      </c>
      <c r="M58" s="274">
        <f>VLOOKUP($A58,[3]Sheet1!$A:$J,5,0)</f>
        <v/>
      </c>
      <c r="N58" s="274">
        <f>VLOOKUP($A58,[3]Sheet1!$A:$J,6,0)</f>
        <v/>
      </c>
      <c r="O58" s="274">
        <f>VLOOKUP($A58,[3]Sheet1!$A:$J,7,0)</f>
        <v/>
      </c>
      <c r="P58" s="274">
        <f>VLOOKUP($A58,[3]Sheet1!$A:$J,8,0)</f>
        <v/>
      </c>
      <c r="Q58" s="364" t="n"/>
      <c r="R58" s="672">
        <f>K58-B58</f>
        <v/>
      </c>
      <c r="S58" s="672">
        <f>L58-C58</f>
        <v/>
      </c>
      <c r="T58" s="672">
        <f>M58-D58</f>
        <v/>
      </c>
      <c r="U58" s="672">
        <f>N58-E58</f>
        <v/>
      </c>
      <c r="V58" s="672">
        <f>O58-F58</f>
        <v/>
      </c>
      <c r="W58" s="672">
        <f>P58-G58</f>
        <v/>
      </c>
      <c r="X58" s="332" t="n"/>
      <c r="Y58" s="332" t="n"/>
      <c r="Z58" s="332" t="n"/>
      <c r="AA58" s="332" t="n"/>
      <c r="AB58" s="332" t="n"/>
      <c r="AC58" s="332" t="n"/>
      <c r="AD58" s="332" t="n"/>
      <c r="AE58" s="332" t="n"/>
      <c r="AF58" s="332" t="n"/>
      <c r="AG58" s="332" t="n"/>
      <c r="AH58" s="332" t="n"/>
      <c r="AI58" s="332" t="n"/>
      <c r="AJ58" s="332" t="n"/>
      <c r="AK58" s="332" t="n"/>
    </row>
    <row r="59" s="373">
      <c r="A59" s="239" t="inlineStr">
        <is>
          <t>853999</t>
        </is>
      </c>
      <c r="B59" s="670" t="n">
        <v>0</v>
      </c>
      <c r="C59" s="670" t="n">
        <v>0</v>
      </c>
      <c r="D59" s="670" t="n">
        <v>10861620</v>
      </c>
      <c r="E59" s="670" t="n">
        <v>0</v>
      </c>
      <c r="F59" s="670" t="n">
        <v>10861620</v>
      </c>
      <c r="G59" s="670" t="n">
        <v>0</v>
      </c>
      <c r="H59" s="274" t="n"/>
      <c r="I59" s="364" t="n"/>
      <c r="J59" s="671" t="n"/>
      <c r="K59" s="274">
        <f>VLOOKUP($A59,[3]Sheet1!$A:$J,3,0)</f>
        <v/>
      </c>
      <c r="L59" s="274">
        <f>VLOOKUP($A59,[3]Sheet1!$A:$J,4,0)</f>
        <v/>
      </c>
      <c r="M59" s="274">
        <f>VLOOKUP($A59,[3]Sheet1!$A:$J,5,0)</f>
        <v/>
      </c>
      <c r="N59" s="274">
        <f>VLOOKUP($A59,[3]Sheet1!$A:$J,6,0)</f>
        <v/>
      </c>
      <c r="O59" s="274">
        <f>VLOOKUP($A59,[3]Sheet1!$A:$J,7,0)</f>
        <v/>
      </c>
      <c r="P59" s="274">
        <f>VLOOKUP($A59,[3]Sheet1!$A:$J,8,0)</f>
        <v/>
      </c>
      <c r="Q59" s="364" t="n"/>
      <c r="R59" s="672">
        <f>K59-B59</f>
        <v/>
      </c>
      <c r="S59" s="672">
        <f>L59-C59</f>
        <v/>
      </c>
      <c r="T59" s="672">
        <f>M59-D59</f>
        <v/>
      </c>
      <c r="U59" s="672">
        <f>N59-E59</f>
        <v/>
      </c>
      <c r="V59" s="672">
        <f>O59-F59</f>
        <v/>
      </c>
      <c r="W59" s="672">
        <f>P59-G59</f>
        <v/>
      </c>
      <c r="X59" s="332" t="n"/>
      <c r="Y59" s="332" t="n"/>
      <c r="Z59" s="332" t="n"/>
      <c r="AA59" s="332" t="n"/>
      <c r="AB59" s="332" t="n"/>
      <c r="AC59" s="332" t="n"/>
      <c r="AD59" s="332" t="n"/>
      <c r="AE59" s="332" t="n"/>
      <c r="AF59" s="332" t="n"/>
      <c r="AG59" s="332" t="n"/>
      <c r="AH59" s="332" t="n"/>
      <c r="AI59" s="332" t="n"/>
      <c r="AJ59" s="332" t="n"/>
      <c r="AK59" s="332" t="n"/>
    </row>
    <row r="60" s="373">
      <c r="A60" s="239" t="inlineStr">
        <is>
          <t>856001</t>
        </is>
      </c>
      <c r="B60" s="670" t="n">
        <v>0</v>
      </c>
      <c r="C60" s="670" t="n">
        <v>0</v>
      </c>
      <c r="D60" s="670" t="n">
        <v>80900000</v>
      </c>
      <c r="E60" s="670" t="n">
        <v>0</v>
      </c>
      <c r="F60" s="670" t="n">
        <v>80900000</v>
      </c>
      <c r="G60" s="670" t="n">
        <v>0</v>
      </c>
      <c r="H60" s="274" t="n"/>
      <c r="I60" s="364" t="n"/>
      <c r="J60" s="671" t="n"/>
      <c r="K60" s="274">
        <f>VLOOKUP($A60,[3]Sheet1!$A:$J,3,0)</f>
        <v/>
      </c>
      <c r="L60" s="274">
        <f>VLOOKUP($A60,[3]Sheet1!$A:$J,4,0)</f>
        <v/>
      </c>
      <c r="M60" s="274">
        <f>VLOOKUP($A60,[3]Sheet1!$A:$J,5,0)</f>
        <v/>
      </c>
      <c r="N60" s="274">
        <f>VLOOKUP($A60,[3]Sheet1!$A:$J,6,0)</f>
        <v/>
      </c>
      <c r="O60" s="274">
        <f>VLOOKUP($A60,[3]Sheet1!$A:$J,7,0)</f>
        <v/>
      </c>
      <c r="P60" s="274">
        <f>VLOOKUP($A60,[3]Sheet1!$A:$J,8,0)</f>
        <v/>
      </c>
      <c r="Q60" s="364" t="n"/>
      <c r="R60" s="672">
        <f>K60-B60</f>
        <v/>
      </c>
      <c r="S60" s="672">
        <f>L60-C60</f>
        <v/>
      </c>
      <c r="T60" s="672">
        <f>M60-D60</f>
        <v/>
      </c>
      <c r="U60" s="672">
        <f>N60-E60</f>
        <v/>
      </c>
      <c r="V60" s="672">
        <f>O60-F60</f>
        <v/>
      </c>
      <c r="W60" s="672">
        <f>P60-G60</f>
        <v/>
      </c>
      <c r="X60" s="332" t="n"/>
      <c r="Y60" s="332" t="n"/>
      <c r="Z60" s="332" t="n"/>
      <c r="AA60" s="332" t="n"/>
      <c r="AB60" s="332" t="n"/>
      <c r="AC60" s="332" t="n"/>
      <c r="AD60" s="332" t="n"/>
      <c r="AE60" s="332" t="n"/>
      <c r="AF60" s="332" t="n"/>
      <c r="AG60" s="332" t="n"/>
      <c r="AH60" s="332" t="n"/>
      <c r="AI60" s="332" t="n"/>
      <c r="AJ60" s="332" t="n"/>
      <c r="AK60" s="332" t="n"/>
    </row>
    <row r="61" s="373">
      <c r="A61" s="239" t="inlineStr">
        <is>
          <t>859001</t>
        </is>
      </c>
      <c r="B61" s="670" t="n">
        <v>0</v>
      </c>
      <c r="C61" s="670" t="n">
        <v>0</v>
      </c>
      <c r="D61" s="670" t="n">
        <v>864488700</v>
      </c>
      <c r="E61" s="670" t="n">
        <v>0</v>
      </c>
      <c r="F61" s="670" t="n">
        <v>864488700</v>
      </c>
      <c r="G61" s="670" t="n">
        <v>0</v>
      </c>
      <c r="H61" s="274" t="n"/>
      <c r="I61" s="364" t="n"/>
      <c r="J61" s="671" t="n"/>
      <c r="K61" s="274">
        <f>VLOOKUP($A61,[3]Sheet1!$A:$J,3,0)</f>
        <v/>
      </c>
      <c r="L61" s="274">
        <f>VLOOKUP($A61,[3]Sheet1!$A:$J,4,0)</f>
        <v/>
      </c>
      <c r="M61" s="274">
        <f>VLOOKUP($A61,[3]Sheet1!$A:$J,5,0)</f>
        <v/>
      </c>
      <c r="N61" s="274">
        <f>VLOOKUP($A61,[3]Sheet1!$A:$J,6,0)</f>
        <v/>
      </c>
      <c r="O61" s="274">
        <f>VLOOKUP($A61,[3]Sheet1!$A:$J,7,0)</f>
        <v/>
      </c>
      <c r="P61" s="274">
        <f>VLOOKUP($A61,[3]Sheet1!$A:$J,8,0)</f>
        <v/>
      </c>
      <c r="Q61" s="364" t="n"/>
      <c r="R61" s="672">
        <f>K61-B61</f>
        <v/>
      </c>
      <c r="S61" s="672">
        <f>L61-C61</f>
        <v/>
      </c>
      <c r="T61" s="672">
        <f>M61-D61</f>
        <v/>
      </c>
      <c r="U61" s="672">
        <f>N61-E61</f>
        <v/>
      </c>
      <c r="V61" s="672">
        <f>O61-F61</f>
        <v/>
      </c>
      <c r="W61" s="672">
        <f>P61-G61</f>
        <v/>
      </c>
      <c r="X61" s="332" t="n"/>
      <c r="Y61" s="332" t="n"/>
      <c r="Z61" s="332" t="n"/>
      <c r="AA61" s="332" t="n"/>
      <c r="AB61" s="332" t="n"/>
      <c r="AC61" s="332" t="n"/>
      <c r="AD61" s="332" t="n"/>
      <c r="AE61" s="332" t="n"/>
      <c r="AF61" s="332" t="n"/>
      <c r="AG61" s="332" t="n"/>
      <c r="AH61" s="332" t="n"/>
      <c r="AI61" s="332" t="n"/>
      <c r="AJ61" s="332" t="n"/>
      <c r="AK61" s="332" t="n"/>
    </row>
    <row r="62" s="373">
      <c r="A62" s="239" t="inlineStr">
        <is>
          <t>861101</t>
        </is>
      </c>
      <c r="B62" s="670" t="n">
        <v>0</v>
      </c>
      <c r="C62" s="670" t="n">
        <v>0</v>
      </c>
      <c r="D62" s="670" t="n">
        <v>4250000</v>
      </c>
      <c r="E62" s="670" t="n">
        <v>0</v>
      </c>
      <c r="F62" s="670" t="n">
        <v>4250000</v>
      </c>
      <c r="G62" s="670" t="n">
        <v>0</v>
      </c>
      <c r="H62" s="274" t="n"/>
      <c r="I62" s="364" t="n"/>
      <c r="J62" s="671" t="n"/>
      <c r="K62" s="274">
        <f>VLOOKUP($A62,[3]Sheet1!$A:$J,3,0)</f>
        <v/>
      </c>
      <c r="L62" s="274">
        <f>VLOOKUP($A62,[3]Sheet1!$A:$J,4,0)</f>
        <v/>
      </c>
      <c r="M62" s="274">
        <f>VLOOKUP($A62,[3]Sheet1!$A:$J,5,0)</f>
        <v/>
      </c>
      <c r="N62" s="274">
        <f>VLOOKUP($A62,[3]Sheet1!$A:$J,6,0)</f>
        <v/>
      </c>
      <c r="O62" s="274">
        <f>VLOOKUP($A62,[3]Sheet1!$A:$J,7,0)</f>
        <v/>
      </c>
      <c r="P62" s="274">
        <f>VLOOKUP($A62,[3]Sheet1!$A:$J,8,0)</f>
        <v/>
      </c>
      <c r="Q62" s="364" t="n"/>
      <c r="R62" s="672">
        <f>K62-B62</f>
        <v/>
      </c>
      <c r="S62" s="672">
        <f>L62-C62</f>
        <v/>
      </c>
      <c r="T62" s="672">
        <f>M62-D62</f>
        <v/>
      </c>
      <c r="U62" s="672">
        <f>N62-E62</f>
        <v/>
      </c>
      <c r="V62" s="672">
        <f>O62-F62</f>
        <v/>
      </c>
      <c r="W62" s="672">
        <f>P62-G62</f>
        <v/>
      </c>
      <c r="X62" s="332" t="n"/>
      <c r="Y62" s="332" t="n"/>
      <c r="Z62" s="332" t="n"/>
      <c r="AA62" s="332" t="n"/>
      <c r="AB62" s="332" t="n"/>
      <c r="AC62" s="332" t="n"/>
      <c r="AD62" s="332" t="n"/>
      <c r="AE62" s="332" t="n"/>
      <c r="AF62" s="332" t="n"/>
      <c r="AG62" s="332" t="n"/>
      <c r="AH62" s="332" t="n"/>
      <c r="AI62" s="332" t="n"/>
      <c r="AJ62" s="332" t="n"/>
      <c r="AK62" s="332" t="n"/>
    </row>
    <row r="63" s="373">
      <c r="A63" s="239" t="inlineStr">
        <is>
          <t>861201</t>
        </is>
      </c>
      <c r="B63" s="670" t="n">
        <v>0</v>
      </c>
      <c r="C63" s="670" t="n">
        <v>0</v>
      </c>
      <c r="D63" s="670" t="n">
        <v>0</v>
      </c>
      <c r="E63" s="670" t="n">
        <v>0</v>
      </c>
      <c r="F63" s="670" t="n">
        <v>0</v>
      </c>
      <c r="G63" s="670" t="n">
        <v>0</v>
      </c>
      <c r="H63" s="274" t="n"/>
      <c r="I63" s="364" t="n"/>
      <c r="J63" s="671" t="n"/>
      <c r="K63" s="274" t="n"/>
      <c r="L63" s="274" t="n"/>
      <c r="M63" s="274" t="n"/>
      <c r="N63" s="274" t="n"/>
      <c r="O63" s="274" t="n"/>
      <c r="P63" s="274" t="n"/>
      <c r="Q63" s="364" t="n"/>
      <c r="R63" s="672">
        <f>K63-B63</f>
        <v/>
      </c>
      <c r="S63" s="672">
        <f>L63-C63</f>
        <v/>
      </c>
      <c r="T63" s="672">
        <f>M63-D63</f>
        <v/>
      </c>
      <c r="U63" s="672">
        <f>N63-E63</f>
        <v/>
      </c>
      <c r="V63" s="672">
        <f>O63-F63</f>
        <v/>
      </c>
      <c r="W63" s="672">
        <f>P63-G63</f>
        <v/>
      </c>
      <c r="X63" s="332" t="n"/>
      <c r="Y63" s="332" t="n"/>
      <c r="Z63" s="332" t="n"/>
      <c r="AA63" s="332" t="n"/>
      <c r="AB63" s="332" t="n"/>
      <c r="AC63" s="332" t="n"/>
      <c r="AD63" s="332" t="n"/>
      <c r="AE63" s="332" t="n"/>
      <c r="AF63" s="332" t="n"/>
      <c r="AG63" s="332" t="n"/>
      <c r="AH63" s="332" t="n"/>
      <c r="AI63" s="332" t="n"/>
      <c r="AJ63" s="332" t="n"/>
      <c r="AK63" s="332" t="n"/>
    </row>
    <row r="64" s="373">
      <c r="A64" s="239" t="inlineStr">
        <is>
          <t>861401</t>
        </is>
      </c>
      <c r="B64" s="670" t="n">
        <v>0</v>
      </c>
      <c r="C64" s="670" t="n">
        <v>0</v>
      </c>
      <c r="D64" s="670" t="n">
        <v>20371832</v>
      </c>
      <c r="E64" s="670" t="n">
        <v>0</v>
      </c>
      <c r="F64" s="670" t="n">
        <v>20371832</v>
      </c>
      <c r="G64" s="670" t="n">
        <v>0</v>
      </c>
      <c r="H64" s="274" t="n"/>
      <c r="I64" s="364" t="n"/>
      <c r="J64" s="671" t="n"/>
      <c r="K64" s="274">
        <f>VLOOKUP($A64,[3]Sheet1!$A:$J,3,0)</f>
        <v/>
      </c>
      <c r="L64" s="274">
        <f>VLOOKUP($A64,[3]Sheet1!$A:$J,4,0)</f>
        <v/>
      </c>
      <c r="M64" s="274">
        <f>VLOOKUP($A64,[3]Sheet1!$A:$J,5,0)</f>
        <v/>
      </c>
      <c r="N64" s="274">
        <f>VLOOKUP($A64,[3]Sheet1!$A:$J,6,0)</f>
        <v/>
      </c>
      <c r="O64" s="274">
        <f>VLOOKUP($A64,[3]Sheet1!$A:$J,7,0)</f>
        <v/>
      </c>
      <c r="P64" s="274">
        <f>VLOOKUP($A64,[3]Sheet1!$A:$J,8,0)</f>
        <v/>
      </c>
      <c r="Q64" s="364" t="n"/>
      <c r="R64" s="672">
        <f>K64-B64</f>
        <v/>
      </c>
      <c r="S64" s="672">
        <f>L64-C64</f>
        <v/>
      </c>
      <c r="T64" s="672">
        <f>M64-D64</f>
        <v/>
      </c>
      <c r="U64" s="672">
        <f>N64-E64</f>
        <v/>
      </c>
      <c r="V64" s="672">
        <f>O64-F64</f>
        <v/>
      </c>
      <c r="W64" s="672">
        <f>P64-G64</f>
        <v/>
      </c>
      <c r="X64" s="332" t="n"/>
      <c r="Y64" s="332" t="n"/>
      <c r="Z64" s="332" t="n"/>
      <c r="AA64" s="332" t="n"/>
      <c r="AB64" s="332" t="n"/>
      <c r="AC64" s="332" t="n"/>
      <c r="AD64" s="332" t="n"/>
      <c r="AE64" s="332" t="n"/>
      <c r="AF64" s="332" t="n"/>
      <c r="AG64" s="332" t="n"/>
      <c r="AH64" s="332" t="n"/>
      <c r="AI64" s="332" t="n"/>
      <c r="AJ64" s="332" t="n"/>
      <c r="AK64" s="332" t="n"/>
    </row>
    <row r="65" s="373">
      <c r="A65" s="239" t="inlineStr">
        <is>
          <t>861999</t>
        </is>
      </c>
      <c r="B65" s="670" t="n">
        <v>0</v>
      </c>
      <c r="C65" s="670" t="n">
        <v>0</v>
      </c>
      <c r="D65" s="670" t="n">
        <v>0</v>
      </c>
      <c r="E65" s="670" t="n">
        <v>0</v>
      </c>
      <c r="F65" s="670" t="n">
        <v>0</v>
      </c>
      <c r="G65" s="670" t="n">
        <v>0</v>
      </c>
      <c r="H65" s="274" t="n"/>
      <c r="I65" s="364" t="n"/>
      <c r="J65" s="671" t="n"/>
      <c r="K65" s="274" t="n"/>
      <c r="L65" s="274" t="n"/>
      <c r="M65" s="274" t="n"/>
      <c r="N65" s="274" t="n"/>
      <c r="O65" s="274" t="n"/>
      <c r="P65" s="274" t="n"/>
      <c r="Q65" s="364" t="n"/>
      <c r="R65" s="672">
        <f>K65-B65</f>
        <v/>
      </c>
      <c r="S65" s="672">
        <f>L65-C65</f>
        <v/>
      </c>
      <c r="T65" s="672">
        <f>M65-D65</f>
        <v/>
      </c>
      <c r="U65" s="672">
        <f>N65-E65</f>
        <v/>
      </c>
      <c r="V65" s="672">
        <f>O65-F65</f>
        <v/>
      </c>
      <c r="W65" s="672">
        <f>P65-G65</f>
        <v/>
      </c>
      <c r="X65" s="332" t="n"/>
      <c r="Y65" s="332" t="n"/>
      <c r="Z65" s="332" t="n"/>
      <c r="AA65" s="332" t="n"/>
      <c r="AB65" s="332" t="n"/>
      <c r="AC65" s="332" t="n"/>
      <c r="AD65" s="332" t="n"/>
      <c r="AE65" s="332" t="n"/>
      <c r="AF65" s="332" t="n"/>
      <c r="AG65" s="332" t="n"/>
      <c r="AH65" s="332" t="n"/>
      <c r="AI65" s="332" t="n"/>
      <c r="AJ65" s="332" t="n"/>
      <c r="AK65" s="332" t="n"/>
    </row>
    <row r="66" s="373">
      <c r="A66" s="239" t="inlineStr">
        <is>
          <t>862001</t>
        </is>
      </c>
      <c r="B66" s="670" t="n">
        <v>0</v>
      </c>
      <c r="C66" s="670" t="n">
        <v>0</v>
      </c>
      <c r="D66" s="670" t="n">
        <v>12053782</v>
      </c>
      <c r="E66" s="670" t="n">
        <v>0</v>
      </c>
      <c r="F66" s="670" t="n">
        <v>12053782</v>
      </c>
      <c r="G66" s="670" t="n">
        <v>0</v>
      </c>
      <c r="H66" s="274" t="n"/>
      <c r="I66" s="364" t="n"/>
      <c r="J66" s="671" t="n"/>
      <c r="K66" s="274">
        <f>VLOOKUP($A66,[3]Sheet1!$A:$J,3,0)</f>
        <v/>
      </c>
      <c r="L66" s="274">
        <f>VLOOKUP($A66,[3]Sheet1!$A:$J,4,0)</f>
        <v/>
      </c>
      <c r="M66" s="274">
        <f>VLOOKUP($A66,[3]Sheet1!$A:$J,5,0)</f>
        <v/>
      </c>
      <c r="N66" s="274">
        <f>VLOOKUP($A66,[3]Sheet1!$A:$J,6,0)</f>
        <v/>
      </c>
      <c r="O66" s="274">
        <f>VLOOKUP($A66,[3]Sheet1!$A:$J,7,0)</f>
        <v/>
      </c>
      <c r="P66" s="274">
        <f>VLOOKUP($A66,[3]Sheet1!$A:$J,8,0)</f>
        <v/>
      </c>
      <c r="Q66" s="364" t="n"/>
      <c r="R66" s="672">
        <f>K66-B66</f>
        <v/>
      </c>
      <c r="S66" s="672">
        <f>L66-C66</f>
        <v/>
      </c>
      <c r="T66" s="672">
        <f>M66-D66</f>
        <v/>
      </c>
      <c r="U66" s="672">
        <f>N66-E66</f>
        <v/>
      </c>
      <c r="V66" s="672">
        <f>O66-F66</f>
        <v/>
      </c>
      <c r="W66" s="672">
        <f>P66-G66</f>
        <v/>
      </c>
      <c r="X66" s="332" t="n"/>
      <c r="Y66" s="332" t="n"/>
      <c r="Z66" s="332" t="n"/>
      <c r="AA66" s="332" t="n"/>
      <c r="AB66" s="332" t="n"/>
      <c r="AC66" s="332" t="n"/>
      <c r="AD66" s="332" t="n"/>
      <c r="AE66" s="332" t="n"/>
      <c r="AF66" s="332" t="n"/>
      <c r="AG66" s="332" t="n"/>
      <c r="AH66" s="332" t="n"/>
      <c r="AI66" s="332" t="n"/>
      <c r="AJ66" s="332" t="n"/>
      <c r="AK66" s="332" t="n"/>
    </row>
    <row r="67" s="373">
      <c r="A67" s="239" t="inlineStr">
        <is>
          <t>863001</t>
        </is>
      </c>
      <c r="B67" s="670" t="n">
        <v>0</v>
      </c>
      <c r="C67" s="670" t="n">
        <v>0</v>
      </c>
      <c r="D67" s="670" t="n">
        <v>9610606</v>
      </c>
      <c r="E67" s="670" t="n">
        <v>0</v>
      </c>
      <c r="F67" s="670" t="n">
        <v>9610606</v>
      </c>
      <c r="G67" s="670" t="n">
        <v>0</v>
      </c>
      <c r="H67" s="274" t="n"/>
      <c r="I67" s="364" t="n"/>
      <c r="J67" s="671" t="n"/>
      <c r="K67" s="274">
        <f>VLOOKUP($A67,[3]Sheet1!$A:$J,3,0)</f>
        <v/>
      </c>
      <c r="L67" s="274">
        <f>VLOOKUP($A67,[3]Sheet1!$A:$J,4,0)</f>
        <v/>
      </c>
      <c r="M67" s="274">
        <f>VLOOKUP($A67,[3]Sheet1!$A:$J,5,0)</f>
        <v/>
      </c>
      <c r="N67" s="274">
        <f>VLOOKUP($A67,[3]Sheet1!$A:$J,6,0)</f>
        <v/>
      </c>
      <c r="O67" s="274">
        <f>VLOOKUP($A67,[3]Sheet1!$A:$J,7,0)</f>
        <v/>
      </c>
      <c r="P67" s="274">
        <f>VLOOKUP($A67,[3]Sheet1!$A:$J,8,0)</f>
        <v/>
      </c>
      <c r="Q67" s="364" t="n"/>
      <c r="R67" s="672">
        <f>K67-B67</f>
        <v/>
      </c>
      <c r="S67" s="672">
        <f>L67-C67</f>
        <v/>
      </c>
      <c r="T67" s="672">
        <f>M67-D67</f>
        <v/>
      </c>
      <c r="U67" s="672">
        <f>N67-E67</f>
        <v/>
      </c>
      <c r="V67" s="672">
        <f>O67-F67</f>
        <v/>
      </c>
      <c r="W67" s="672">
        <f>P67-G67</f>
        <v/>
      </c>
      <c r="X67" s="332" t="n"/>
      <c r="Y67" s="332" t="n"/>
      <c r="Z67" s="332" t="n"/>
      <c r="AA67" s="332" t="n"/>
      <c r="AB67" s="332" t="n"/>
      <c r="AC67" s="332" t="n"/>
      <c r="AD67" s="332" t="n"/>
      <c r="AE67" s="332" t="n"/>
      <c r="AF67" s="332" t="n"/>
      <c r="AG67" s="332" t="n"/>
      <c r="AH67" s="332" t="n"/>
      <c r="AI67" s="332" t="n"/>
      <c r="AJ67" s="332" t="n"/>
      <c r="AK67" s="332" t="n"/>
    </row>
    <row r="68" s="373">
      <c r="A68" s="239" t="inlineStr">
        <is>
          <t>864001</t>
        </is>
      </c>
      <c r="B68" s="670" t="n">
        <v>0</v>
      </c>
      <c r="C68" s="670" t="n">
        <v>0</v>
      </c>
      <c r="D68" s="670" t="n">
        <v>0</v>
      </c>
      <c r="E68" s="670" t="n">
        <v>0</v>
      </c>
      <c r="F68" s="670" t="n">
        <v>0</v>
      </c>
      <c r="G68" s="670" t="n">
        <v>0</v>
      </c>
      <c r="H68" s="274" t="n"/>
      <c r="I68" s="364" t="n"/>
      <c r="J68" s="671" t="n"/>
      <c r="K68" s="274" t="n"/>
      <c r="L68" s="274" t="n"/>
      <c r="M68" s="274" t="n"/>
      <c r="N68" s="274" t="n"/>
      <c r="O68" s="274" t="n"/>
      <c r="P68" s="274" t="n"/>
      <c r="Q68" s="364" t="n"/>
      <c r="R68" s="672">
        <f>K68-B68</f>
        <v/>
      </c>
      <c r="S68" s="672">
        <f>L68-C68</f>
        <v/>
      </c>
      <c r="T68" s="672">
        <f>M68-D68</f>
        <v/>
      </c>
      <c r="U68" s="672">
        <f>N68-E68</f>
        <v/>
      </c>
      <c r="V68" s="672">
        <f>O68-F68</f>
        <v/>
      </c>
      <c r="W68" s="672">
        <f>P68-G68</f>
        <v/>
      </c>
      <c r="X68" s="332" t="n"/>
      <c r="Y68" s="332" t="n"/>
      <c r="Z68" s="332" t="n"/>
      <c r="AA68" s="332" t="n"/>
      <c r="AB68" s="332" t="n"/>
      <c r="AC68" s="332" t="n"/>
      <c r="AD68" s="332" t="n"/>
      <c r="AE68" s="332" t="n"/>
      <c r="AF68" s="332" t="n"/>
      <c r="AG68" s="332" t="n"/>
      <c r="AH68" s="332" t="n"/>
      <c r="AI68" s="332" t="n"/>
      <c r="AJ68" s="332" t="n"/>
      <c r="AK68" s="332" t="n"/>
    </row>
    <row r="69" s="373">
      <c r="A69" s="239" t="inlineStr">
        <is>
          <t>865001</t>
        </is>
      </c>
      <c r="B69" s="670" t="n">
        <v>0</v>
      </c>
      <c r="C69" s="670" t="n">
        <v>0</v>
      </c>
      <c r="D69" s="670" t="n">
        <v>18690489</v>
      </c>
      <c r="E69" s="670" t="n">
        <v>0</v>
      </c>
      <c r="F69" s="670" t="n">
        <v>18690489</v>
      </c>
      <c r="G69" s="670" t="n">
        <v>0</v>
      </c>
      <c r="H69" s="274" t="n"/>
      <c r="I69" s="364" t="n"/>
      <c r="J69" s="671" t="n"/>
      <c r="K69" s="274">
        <f>VLOOKUP($A69,[3]Sheet1!$A:$J,3,0)</f>
        <v/>
      </c>
      <c r="L69" s="274">
        <f>VLOOKUP($A69,[3]Sheet1!$A:$J,4,0)</f>
        <v/>
      </c>
      <c r="M69" s="274">
        <f>VLOOKUP($A69,[3]Sheet1!$A:$J,5,0)</f>
        <v/>
      </c>
      <c r="N69" s="274">
        <f>VLOOKUP($A69,[3]Sheet1!$A:$J,6,0)</f>
        <v/>
      </c>
      <c r="O69" s="274">
        <f>VLOOKUP($A69,[3]Sheet1!$A:$J,7,0)</f>
        <v/>
      </c>
      <c r="P69" s="274">
        <f>VLOOKUP($A69,[3]Sheet1!$A:$J,8,0)</f>
        <v/>
      </c>
      <c r="Q69" s="364" t="n"/>
      <c r="R69" s="672">
        <f>K69-B69</f>
        <v/>
      </c>
      <c r="S69" s="672">
        <f>L69-C69</f>
        <v/>
      </c>
      <c r="T69" s="672">
        <f>M69-D69</f>
        <v/>
      </c>
      <c r="U69" s="672">
        <f>N69-E69</f>
        <v/>
      </c>
      <c r="V69" s="672">
        <f>O69-F69</f>
        <v/>
      </c>
      <c r="W69" s="672">
        <f>P69-G69</f>
        <v/>
      </c>
      <c r="X69" s="332" t="n"/>
      <c r="Y69" s="332" t="n"/>
      <c r="Z69" s="332" t="n"/>
      <c r="AA69" s="332" t="n"/>
      <c r="AB69" s="332" t="n"/>
      <c r="AC69" s="332" t="n"/>
      <c r="AD69" s="332" t="n"/>
      <c r="AE69" s="332" t="n"/>
      <c r="AF69" s="332" t="n"/>
      <c r="AG69" s="332" t="n"/>
      <c r="AH69" s="332" t="n"/>
      <c r="AI69" s="332" t="n"/>
      <c r="AJ69" s="332" t="n"/>
      <c r="AK69" s="332" t="n"/>
    </row>
    <row r="70" s="373">
      <c r="A70" s="239" t="inlineStr">
        <is>
          <t>866001</t>
        </is>
      </c>
      <c r="B70" s="670" t="n">
        <v>0</v>
      </c>
      <c r="C70" s="670" t="n">
        <v>0</v>
      </c>
      <c r="D70" s="670" t="n">
        <v>706129270</v>
      </c>
      <c r="E70" s="670" t="n">
        <v>0</v>
      </c>
      <c r="F70" s="670" t="n">
        <v>706129270</v>
      </c>
      <c r="G70" s="670" t="n">
        <v>0</v>
      </c>
      <c r="H70" s="274" t="n"/>
      <c r="I70" s="364" t="n"/>
      <c r="J70" s="671" t="n"/>
      <c r="K70" s="274">
        <f>VLOOKUP($A70,[3]Sheet1!$A:$J,3,0)</f>
        <v/>
      </c>
      <c r="L70" s="274">
        <f>VLOOKUP($A70,[3]Sheet1!$A:$J,4,0)</f>
        <v/>
      </c>
      <c r="M70" s="274">
        <f>VLOOKUP($A70,[3]Sheet1!$A:$J,5,0)</f>
        <v/>
      </c>
      <c r="N70" s="274">
        <f>VLOOKUP($A70,[3]Sheet1!$A:$J,6,0)</f>
        <v/>
      </c>
      <c r="O70" s="274">
        <f>VLOOKUP($A70,[3]Sheet1!$A:$J,7,0)</f>
        <v/>
      </c>
      <c r="P70" s="274">
        <f>VLOOKUP($A70,[3]Sheet1!$A:$J,8,0)</f>
        <v/>
      </c>
      <c r="Q70" s="364" t="n"/>
      <c r="R70" s="672">
        <f>K70-B70</f>
        <v/>
      </c>
      <c r="S70" s="672">
        <f>L70-C70</f>
        <v/>
      </c>
      <c r="T70" s="672">
        <f>M70-D70</f>
        <v/>
      </c>
      <c r="U70" s="672">
        <f>N70-E70</f>
        <v/>
      </c>
      <c r="V70" s="672">
        <f>O70-F70</f>
        <v/>
      </c>
      <c r="W70" s="672">
        <f>P70-G70</f>
        <v/>
      </c>
      <c r="X70" s="332" t="n"/>
      <c r="Y70" s="332" t="n"/>
      <c r="Z70" s="332" t="n"/>
      <c r="AA70" s="332" t="n"/>
      <c r="AB70" s="332" t="n"/>
      <c r="AC70" s="332" t="n"/>
      <c r="AD70" s="332" t="n"/>
      <c r="AE70" s="332" t="n"/>
      <c r="AF70" s="332" t="n"/>
      <c r="AG70" s="332" t="n"/>
      <c r="AH70" s="332" t="n"/>
      <c r="AI70" s="332" t="n"/>
      <c r="AJ70" s="332" t="n"/>
      <c r="AK70" s="332" t="n"/>
    </row>
    <row r="71" s="373">
      <c r="A71" s="239" t="inlineStr">
        <is>
          <t>868001</t>
        </is>
      </c>
      <c r="B71" s="670" t="n">
        <v>0</v>
      </c>
      <c r="C71" s="670" t="n">
        <v>0</v>
      </c>
      <c r="D71" s="670" t="n">
        <v>5700000</v>
      </c>
      <c r="E71" s="670" t="n">
        <v>0</v>
      </c>
      <c r="F71" s="670" t="n">
        <v>5700000</v>
      </c>
      <c r="G71" s="670" t="n">
        <v>0</v>
      </c>
      <c r="H71" s="274" t="n"/>
      <c r="I71" s="364" t="n"/>
      <c r="J71" s="671" t="n"/>
      <c r="K71" s="274">
        <f>VLOOKUP($A71,[3]Sheet1!$A:$J,3,0)</f>
        <v/>
      </c>
      <c r="L71" s="274">
        <f>VLOOKUP($A71,[3]Sheet1!$A:$J,4,0)</f>
        <v/>
      </c>
      <c r="M71" s="274">
        <f>VLOOKUP($A71,[3]Sheet1!$A:$J,5,0)</f>
        <v/>
      </c>
      <c r="N71" s="274">
        <f>VLOOKUP($A71,[3]Sheet1!$A:$J,6,0)</f>
        <v/>
      </c>
      <c r="O71" s="274">
        <f>VLOOKUP($A71,[3]Sheet1!$A:$J,7,0)</f>
        <v/>
      </c>
      <c r="P71" s="274">
        <f>VLOOKUP($A71,[3]Sheet1!$A:$J,8,0)</f>
        <v/>
      </c>
      <c r="Q71" s="364" t="n"/>
      <c r="R71" s="672">
        <f>K71-B71</f>
        <v/>
      </c>
      <c r="S71" s="672">
        <f>L71-C71</f>
        <v/>
      </c>
      <c r="T71" s="672">
        <f>M71-D71</f>
        <v/>
      </c>
      <c r="U71" s="672">
        <f>N71-E71</f>
        <v/>
      </c>
      <c r="V71" s="672">
        <f>O71-F71</f>
        <v/>
      </c>
      <c r="W71" s="672">
        <f>P71-G71</f>
        <v/>
      </c>
      <c r="X71" s="332" t="n"/>
      <c r="Y71" s="332" t="n"/>
      <c r="Z71" s="332" t="n"/>
      <c r="AA71" s="332" t="n"/>
      <c r="AB71" s="332" t="n"/>
      <c r="AC71" s="332" t="n"/>
      <c r="AD71" s="332" t="n"/>
      <c r="AE71" s="332" t="n"/>
      <c r="AF71" s="332" t="n"/>
      <c r="AG71" s="332" t="n"/>
      <c r="AH71" s="332" t="n"/>
      <c r="AI71" s="332" t="n"/>
      <c r="AJ71" s="332" t="n"/>
      <c r="AK71" s="332" t="n"/>
    </row>
    <row r="72" s="373">
      <c r="A72" s="239" t="inlineStr">
        <is>
          <t>869101</t>
        </is>
      </c>
      <c r="B72" s="670" t="n">
        <v>0</v>
      </c>
      <c r="C72" s="670" t="n">
        <v>0</v>
      </c>
      <c r="D72" s="670" t="n">
        <v>73987830</v>
      </c>
      <c r="E72" s="670" t="n">
        <v>0</v>
      </c>
      <c r="F72" s="670" t="n">
        <v>73987830</v>
      </c>
      <c r="G72" s="670" t="n">
        <v>0</v>
      </c>
      <c r="H72" s="274" t="n"/>
      <c r="I72" s="364" t="n"/>
      <c r="J72" s="671" t="n"/>
      <c r="K72" s="274">
        <f>VLOOKUP($A72,[3]Sheet1!$A:$J,3,0)</f>
        <v/>
      </c>
      <c r="L72" s="274">
        <f>VLOOKUP($A72,[3]Sheet1!$A:$J,4,0)</f>
        <v/>
      </c>
      <c r="M72" s="274">
        <f>VLOOKUP($A72,[3]Sheet1!$A:$J,5,0)</f>
        <v/>
      </c>
      <c r="N72" s="274">
        <f>VLOOKUP($A72,[3]Sheet1!$A:$J,6,0)</f>
        <v/>
      </c>
      <c r="O72" s="274">
        <f>VLOOKUP($A72,[3]Sheet1!$A:$J,7,0)</f>
        <v/>
      </c>
      <c r="P72" s="274">
        <f>VLOOKUP($A72,[3]Sheet1!$A:$J,8,0)</f>
        <v/>
      </c>
      <c r="Q72" s="364" t="n"/>
      <c r="R72" s="672">
        <f>K72-B72</f>
        <v/>
      </c>
      <c r="S72" s="672">
        <f>L72-C72</f>
        <v/>
      </c>
      <c r="T72" s="672">
        <f>M72-D72</f>
        <v/>
      </c>
      <c r="U72" s="672">
        <f>N72-E72</f>
        <v/>
      </c>
      <c r="V72" s="672">
        <f>O72-F72</f>
        <v/>
      </c>
      <c r="W72" s="672">
        <f>P72-G72</f>
        <v/>
      </c>
      <c r="X72" s="332" t="n"/>
      <c r="Y72" s="332" t="n"/>
      <c r="Z72" s="332" t="n"/>
      <c r="AA72" s="332" t="n"/>
      <c r="AB72" s="332" t="n"/>
      <c r="AC72" s="332" t="n"/>
      <c r="AD72" s="332" t="n"/>
      <c r="AE72" s="332" t="n"/>
      <c r="AF72" s="332" t="n"/>
      <c r="AG72" s="332" t="n"/>
      <c r="AH72" s="332" t="n"/>
      <c r="AI72" s="332" t="n"/>
      <c r="AJ72" s="332" t="n"/>
      <c r="AK72" s="332" t="n"/>
    </row>
    <row r="73" s="373">
      <c r="A73" s="239" t="inlineStr">
        <is>
          <t>869301</t>
        </is>
      </c>
      <c r="B73" s="670" t="n">
        <v>0</v>
      </c>
      <c r="C73" s="670" t="n">
        <v>0</v>
      </c>
      <c r="D73" s="670" t="n">
        <v>40349136</v>
      </c>
      <c r="E73" s="670" t="n">
        <v>0</v>
      </c>
      <c r="F73" s="670" t="n">
        <v>40349136</v>
      </c>
      <c r="G73" s="670" t="n">
        <v>0</v>
      </c>
      <c r="H73" s="274" t="n"/>
      <c r="I73" s="364" t="n"/>
      <c r="J73" s="671" t="n"/>
      <c r="K73" s="274">
        <f>VLOOKUP($A73,[3]Sheet1!$A:$J,3,0)</f>
        <v/>
      </c>
      <c r="L73" s="274">
        <f>VLOOKUP($A73,[3]Sheet1!$A:$J,4,0)</f>
        <v/>
      </c>
      <c r="M73" s="274">
        <f>VLOOKUP($A73,[3]Sheet1!$A:$J,5,0)</f>
        <v/>
      </c>
      <c r="N73" s="274">
        <f>VLOOKUP($A73,[3]Sheet1!$A:$J,6,0)</f>
        <v/>
      </c>
      <c r="O73" s="274">
        <f>VLOOKUP($A73,[3]Sheet1!$A:$J,7,0)</f>
        <v/>
      </c>
      <c r="P73" s="274">
        <f>VLOOKUP($A73,[3]Sheet1!$A:$J,8,0)</f>
        <v/>
      </c>
      <c r="Q73" s="364" t="n"/>
      <c r="R73" s="672">
        <f>K73-B73</f>
        <v/>
      </c>
      <c r="S73" s="672">
        <f>L73-C73</f>
        <v/>
      </c>
      <c r="T73" s="672">
        <f>M73-D73</f>
        <v/>
      </c>
      <c r="U73" s="672">
        <f>N73-E73</f>
        <v/>
      </c>
      <c r="V73" s="672">
        <f>O73-F73</f>
        <v/>
      </c>
      <c r="W73" s="672">
        <f>P73-G73</f>
        <v/>
      </c>
      <c r="X73" s="332" t="n"/>
      <c r="Y73" s="332" t="n"/>
      <c r="Z73" s="332" t="n"/>
      <c r="AA73" s="332" t="n"/>
      <c r="AB73" s="332" t="n"/>
      <c r="AC73" s="332" t="n"/>
      <c r="AD73" s="332" t="n"/>
      <c r="AE73" s="332" t="n"/>
      <c r="AF73" s="332" t="n"/>
      <c r="AG73" s="332" t="n"/>
      <c r="AH73" s="332" t="n"/>
      <c r="AI73" s="332" t="n"/>
      <c r="AJ73" s="332" t="n"/>
      <c r="AK73" s="332" t="n"/>
    </row>
    <row r="74" s="373">
      <c r="A74" s="239" t="inlineStr">
        <is>
          <t>869401</t>
        </is>
      </c>
      <c r="B74" s="670" t="n">
        <v>0</v>
      </c>
      <c r="C74" s="670" t="n">
        <v>0</v>
      </c>
      <c r="D74" s="670" t="n">
        <v>82299191</v>
      </c>
      <c r="E74" s="670" t="n">
        <v>0</v>
      </c>
      <c r="F74" s="670" t="n">
        <v>82299191</v>
      </c>
      <c r="G74" s="670" t="n">
        <v>0</v>
      </c>
      <c r="H74" s="274" t="n"/>
      <c r="I74" s="364" t="n"/>
      <c r="J74" s="671" t="n"/>
      <c r="K74" s="274">
        <f>VLOOKUP($A74,[3]Sheet1!$A:$J,3,0)</f>
        <v/>
      </c>
      <c r="L74" s="274">
        <f>VLOOKUP($A74,[3]Sheet1!$A:$J,4,0)</f>
        <v/>
      </c>
      <c r="M74" s="274">
        <f>VLOOKUP($A74,[3]Sheet1!$A:$J,5,0)</f>
        <v/>
      </c>
      <c r="N74" s="274">
        <f>VLOOKUP($A74,[3]Sheet1!$A:$J,6,0)</f>
        <v/>
      </c>
      <c r="O74" s="274">
        <f>VLOOKUP($A74,[3]Sheet1!$A:$J,7,0)</f>
        <v/>
      </c>
      <c r="P74" s="274">
        <f>VLOOKUP($A74,[3]Sheet1!$A:$J,8,0)</f>
        <v/>
      </c>
      <c r="Q74" s="364" t="n"/>
      <c r="R74" s="672">
        <f>K74-B74</f>
        <v/>
      </c>
      <c r="S74" s="672">
        <f>L74-C74</f>
        <v/>
      </c>
      <c r="T74" s="672">
        <f>M74-D74</f>
        <v/>
      </c>
      <c r="U74" s="672">
        <f>N74-E74</f>
        <v/>
      </c>
      <c r="V74" s="672">
        <f>O74-F74</f>
        <v/>
      </c>
      <c r="W74" s="672">
        <f>P74-G74</f>
        <v/>
      </c>
      <c r="X74" s="332" t="n"/>
      <c r="Y74" s="332" t="n"/>
      <c r="Z74" s="332" t="n"/>
      <c r="AA74" s="332" t="n"/>
      <c r="AB74" s="332" t="n"/>
      <c r="AC74" s="332" t="n"/>
      <c r="AD74" s="332" t="n"/>
      <c r="AE74" s="332" t="n"/>
      <c r="AF74" s="332" t="n"/>
      <c r="AG74" s="332" t="n"/>
      <c r="AH74" s="332" t="n"/>
      <c r="AI74" s="332" t="n"/>
      <c r="AJ74" s="332" t="n"/>
      <c r="AK74" s="332" t="n"/>
    </row>
    <row r="75" s="373">
      <c r="A75" s="239" t="inlineStr">
        <is>
          <t>869402</t>
        </is>
      </c>
      <c r="B75" s="670" t="n">
        <v>0</v>
      </c>
      <c r="C75" s="670" t="n">
        <v>0</v>
      </c>
      <c r="D75" s="670" t="n">
        <v>357233897</v>
      </c>
      <c r="E75" s="670" t="n">
        <v>0</v>
      </c>
      <c r="F75" s="670" t="n">
        <v>357233897</v>
      </c>
      <c r="G75" s="670" t="n">
        <v>0</v>
      </c>
      <c r="H75" s="274" t="n"/>
      <c r="I75" s="364" t="n"/>
      <c r="J75" s="671" t="n"/>
      <c r="K75" s="274">
        <f>VLOOKUP($A75,[3]Sheet1!$A:$J,3,0)</f>
        <v/>
      </c>
      <c r="L75" s="274">
        <f>VLOOKUP($A75,[3]Sheet1!$A:$J,4,0)</f>
        <v/>
      </c>
      <c r="M75" s="274">
        <f>VLOOKUP($A75,[3]Sheet1!$A:$J,5,0)</f>
        <v/>
      </c>
      <c r="N75" s="274">
        <f>VLOOKUP($A75,[3]Sheet1!$A:$J,6,0)</f>
        <v/>
      </c>
      <c r="O75" s="274">
        <f>VLOOKUP($A75,[3]Sheet1!$A:$J,7,0)</f>
        <v/>
      </c>
      <c r="P75" s="274">
        <f>VLOOKUP($A75,[3]Sheet1!$A:$J,8,0)</f>
        <v/>
      </c>
      <c r="Q75" s="364" t="n"/>
      <c r="R75" s="672">
        <f>K75-B75</f>
        <v/>
      </c>
      <c r="S75" s="672">
        <f>L75-C75</f>
        <v/>
      </c>
      <c r="T75" s="672">
        <f>M75-D75</f>
        <v/>
      </c>
      <c r="U75" s="672">
        <f>N75-E75</f>
        <v/>
      </c>
      <c r="V75" s="672">
        <f>O75-F75</f>
        <v/>
      </c>
      <c r="W75" s="672">
        <f>P75-G75</f>
        <v/>
      </c>
      <c r="X75" s="332" t="n"/>
      <c r="Y75" s="332" t="n"/>
      <c r="Z75" s="332" t="n"/>
      <c r="AA75" s="332" t="n"/>
      <c r="AB75" s="332" t="n"/>
      <c r="AC75" s="332" t="n"/>
      <c r="AD75" s="332" t="n"/>
      <c r="AE75" s="332" t="n"/>
      <c r="AF75" s="332" t="n"/>
      <c r="AG75" s="332" t="n"/>
      <c r="AH75" s="332" t="n"/>
      <c r="AI75" s="332" t="n"/>
      <c r="AJ75" s="332" t="n"/>
      <c r="AK75" s="332" t="n"/>
    </row>
    <row r="76" s="373">
      <c r="A76" s="239" t="inlineStr">
        <is>
          <t>869501</t>
        </is>
      </c>
      <c r="B76" s="670" t="n">
        <v>0</v>
      </c>
      <c r="C76" s="670" t="n">
        <v>0</v>
      </c>
      <c r="D76" s="670" t="n">
        <v>0</v>
      </c>
      <c r="E76" s="670" t="n">
        <v>0</v>
      </c>
      <c r="F76" s="670" t="n">
        <v>0</v>
      </c>
      <c r="G76" s="670" t="n">
        <v>0</v>
      </c>
      <c r="H76" s="274" t="n"/>
      <c r="I76" s="364" t="n"/>
      <c r="J76" s="671" t="n"/>
      <c r="K76" s="274">
        <f>VLOOKUP($A76,[3]Sheet1!$A:$J,3,0)</f>
        <v/>
      </c>
      <c r="L76" s="274">
        <f>VLOOKUP($A76,[3]Sheet1!$A:$J,4,0)</f>
        <v/>
      </c>
      <c r="M76" s="274">
        <f>VLOOKUP($A76,[3]Sheet1!$A:$J,5,0)</f>
        <v/>
      </c>
      <c r="N76" s="274">
        <f>VLOOKUP($A76,[3]Sheet1!$A:$J,6,0)</f>
        <v/>
      </c>
      <c r="O76" s="274">
        <f>VLOOKUP($A76,[3]Sheet1!$A:$J,7,0)</f>
        <v/>
      </c>
      <c r="P76" s="274">
        <f>VLOOKUP($A76,[3]Sheet1!$A:$J,8,0)</f>
        <v/>
      </c>
      <c r="Q76" s="364" t="n"/>
      <c r="R76" s="672">
        <f>K76-B76</f>
        <v/>
      </c>
      <c r="S76" s="672">
        <f>L76-C76</f>
        <v/>
      </c>
      <c r="T76" s="672">
        <f>M76-D76</f>
        <v/>
      </c>
      <c r="U76" s="672">
        <f>N76-E76</f>
        <v/>
      </c>
      <c r="V76" s="672">
        <f>O76-F76</f>
        <v/>
      </c>
      <c r="W76" s="672">
        <f>P76-G76</f>
        <v/>
      </c>
      <c r="X76" s="332" t="n"/>
      <c r="Y76" s="332" t="n"/>
      <c r="Z76" s="332" t="n"/>
      <c r="AA76" s="332" t="n"/>
      <c r="AB76" s="332" t="n"/>
      <c r="AC76" s="332" t="n"/>
      <c r="AD76" s="332" t="n"/>
      <c r="AE76" s="332" t="n"/>
      <c r="AF76" s="332" t="n"/>
      <c r="AG76" s="332" t="n"/>
      <c r="AH76" s="332" t="n"/>
      <c r="AI76" s="332" t="n"/>
      <c r="AJ76" s="332" t="n"/>
      <c r="AK76" s="332" t="n"/>
    </row>
    <row r="77" s="373">
      <c r="A77" s="239" t="inlineStr">
        <is>
          <t>869701</t>
        </is>
      </c>
      <c r="B77" s="670" t="n">
        <v>0</v>
      </c>
      <c r="C77" s="670" t="n">
        <v>0</v>
      </c>
      <c r="D77" s="670" t="n">
        <v>3247732</v>
      </c>
      <c r="E77" s="670" t="n">
        <v>0</v>
      </c>
      <c r="F77" s="670" t="n">
        <v>3247732</v>
      </c>
      <c r="G77" s="670" t="n">
        <v>0</v>
      </c>
      <c r="H77" s="274" t="n"/>
      <c r="I77" s="364" t="n"/>
      <c r="J77" s="671" t="n"/>
      <c r="K77" s="274">
        <f>VLOOKUP($A77,[3]Sheet1!$A:$J,3,0)</f>
        <v/>
      </c>
      <c r="L77" s="274">
        <f>VLOOKUP($A77,[3]Sheet1!$A:$J,4,0)</f>
        <v/>
      </c>
      <c r="M77" s="274">
        <f>VLOOKUP($A77,[3]Sheet1!$A:$J,5,0)</f>
        <v/>
      </c>
      <c r="N77" s="274">
        <f>VLOOKUP($A77,[3]Sheet1!$A:$J,6,0)</f>
        <v/>
      </c>
      <c r="O77" s="274">
        <f>VLOOKUP($A77,[3]Sheet1!$A:$J,7,0)</f>
        <v/>
      </c>
      <c r="P77" s="274">
        <f>VLOOKUP($A77,[3]Sheet1!$A:$J,8,0)</f>
        <v/>
      </c>
      <c r="Q77" s="364" t="n"/>
      <c r="R77" s="672">
        <f>K77-B77</f>
        <v/>
      </c>
      <c r="S77" s="672">
        <f>L77-C77</f>
        <v/>
      </c>
      <c r="T77" s="672">
        <f>M77-D77</f>
        <v/>
      </c>
      <c r="U77" s="672">
        <f>N77-E77</f>
        <v/>
      </c>
      <c r="V77" s="672">
        <f>O77-F77</f>
        <v/>
      </c>
      <c r="W77" s="672">
        <f>P77-G77</f>
        <v/>
      </c>
      <c r="X77" s="332" t="n"/>
      <c r="Y77" s="332" t="n"/>
      <c r="Z77" s="332" t="n"/>
      <c r="AA77" s="332" t="n"/>
      <c r="AB77" s="332" t="n"/>
      <c r="AC77" s="332" t="n"/>
      <c r="AD77" s="332" t="n"/>
      <c r="AE77" s="332" t="n"/>
      <c r="AF77" s="332" t="n"/>
      <c r="AG77" s="332" t="n"/>
      <c r="AH77" s="332" t="n"/>
      <c r="AI77" s="332" t="n"/>
      <c r="AJ77" s="332" t="n"/>
      <c r="AK77" s="332" t="n"/>
    </row>
    <row r="78" s="373">
      <c r="A78" s="239" t="inlineStr">
        <is>
          <t>869999</t>
        </is>
      </c>
      <c r="B78" s="670" t="n">
        <v>0</v>
      </c>
      <c r="C78" s="670" t="n">
        <v>0</v>
      </c>
      <c r="D78" s="670" t="n">
        <v>29525000</v>
      </c>
      <c r="E78" s="670" t="n">
        <v>0</v>
      </c>
      <c r="F78" s="670" t="n">
        <v>29525000</v>
      </c>
      <c r="G78" s="670" t="n">
        <v>0</v>
      </c>
      <c r="H78" s="274" t="n"/>
      <c r="I78" s="364" t="n"/>
      <c r="J78" s="671" t="n"/>
      <c r="K78" s="274">
        <f>VLOOKUP($A78,[3]Sheet1!$A:$J,3,0)</f>
        <v/>
      </c>
      <c r="L78" s="274">
        <f>VLOOKUP($A78,[3]Sheet1!$A:$J,4,0)</f>
        <v/>
      </c>
      <c r="M78" s="274">
        <f>VLOOKUP($A78,[3]Sheet1!$A:$J,5,0)</f>
        <v/>
      </c>
      <c r="N78" s="274">
        <f>VLOOKUP($A78,[3]Sheet1!$A:$J,6,0)</f>
        <v/>
      </c>
      <c r="O78" s="274">
        <f>VLOOKUP($A78,[3]Sheet1!$A:$J,7,0)</f>
        <v/>
      </c>
      <c r="P78" s="274">
        <f>VLOOKUP($A78,[3]Sheet1!$A:$J,8,0)</f>
        <v/>
      </c>
      <c r="Q78" s="364" t="n"/>
      <c r="R78" s="672">
        <f>K78-B78</f>
        <v/>
      </c>
      <c r="S78" s="672">
        <f>L78-C78</f>
        <v/>
      </c>
      <c r="T78" s="672">
        <f>M78-D78</f>
        <v/>
      </c>
      <c r="U78" s="672">
        <f>N78-E78</f>
        <v/>
      </c>
      <c r="V78" s="672">
        <f>O78-F78</f>
        <v/>
      </c>
      <c r="W78" s="672">
        <f>P78-G78</f>
        <v/>
      </c>
      <c r="X78" s="332" t="n"/>
      <c r="Y78" s="332" t="n"/>
      <c r="Z78" s="332" t="n"/>
      <c r="AA78" s="332" t="n"/>
      <c r="AB78" s="332" t="n"/>
      <c r="AC78" s="332" t="n"/>
      <c r="AD78" s="332" t="n"/>
      <c r="AE78" s="332" t="n"/>
      <c r="AF78" s="332" t="n"/>
      <c r="AG78" s="332" t="n"/>
      <c r="AH78" s="332" t="n"/>
      <c r="AI78" s="332" t="n"/>
      <c r="AJ78" s="332" t="n"/>
      <c r="AK78" s="332" t="n"/>
    </row>
    <row r="79" s="373">
      <c r="A79" s="239" t="inlineStr">
        <is>
          <t>871001</t>
        </is>
      </c>
      <c r="B79" s="670" t="n">
        <v>0</v>
      </c>
      <c r="C79" s="670" t="n">
        <v>0</v>
      </c>
      <c r="D79" s="670" t="n">
        <v>5725755</v>
      </c>
      <c r="E79" s="670" t="n">
        <v>0</v>
      </c>
      <c r="F79" s="670" t="n">
        <v>5725755</v>
      </c>
      <c r="G79" s="670" t="n">
        <v>0</v>
      </c>
      <c r="H79" s="274" t="n"/>
      <c r="I79" s="364" t="n"/>
      <c r="J79" s="671" t="n"/>
      <c r="K79" s="274">
        <f>VLOOKUP($A79,[3]Sheet1!$A:$J,3,0)</f>
        <v/>
      </c>
      <c r="L79" s="274">
        <f>VLOOKUP($A79,[3]Sheet1!$A:$J,4,0)</f>
        <v/>
      </c>
      <c r="M79" s="274">
        <f>VLOOKUP($A79,[3]Sheet1!$A:$J,5,0)</f>
        <v/>
      </c>
      <c r="N79" s="274">
        <f>VLOOKUP($A79,[3]Sheet1!$A:$J,6,0)</f>
        <v/>
      </c>
      <c r="O79" s="274">
        <f>VLOOKUP($A79,[3]Sheet1!$A:$J,7,0)</f>
        <v/>
      </c>
      <c r="P79" s="274">
        <f>VLOOKUP($A79,[3]Sheet1!$A:$J,8,0)</f>
        <v/>
      </c>
      <c r="Q79" s="364" t="n"/>
      <c r="R79" s="672">
        <f>K79-B79</f>
        <v/>
      </c>
      <c r="S79" s="672">
        <f>L79-C79</f>
        <v/>
      </c>
      <c r="T79" s="672">
        <f>M79-D79</f>
        <v/>
      </c>
      <c r="U79" s="672">
        <f>N79-E79</f>
        <v/>
      </c>
      <c r="V79" s="672">
        <f>O79-F79</f>
        <v/>
      </c>
      <c r="W79" s="672">
        <f>P79-G79</f>
        <v/>
      </c>
      <c r="X79" s="332" t="n"/>
      <c r="Y79" s="332" t="n"/>
      <c r="Z79" s="332" t="n"/>
      <c r="AA79" s="332" t="n"/>
      <c r="AB79" s="332" t="n"/>
      <c r="AC79" s="332" t="n"/>
      <c r="AD79" s="332" t="n"/>
      <c r="AE79" s="332" t="n"/>
      <c r="AF79" s="332" t="n"/>
      <c r="AG79" s="332" t="n"/>
      <c r="AH79" s="332" t="n"/>
      <c r="AI79" s="332" t="n"/>
      <c r="AJ79" s="332" t="n"/>
      <c r="AK79" s="332" t="n"/>
    </row>
    <row r="80" s="373">
      <c r="A80" s="239" t="inlineStr">
        <is>
          <t>872001</t>
        </is>
      </c>
      <c r="B80" s="680" t="n">
        <v>0</v>
      </c>
      <c r="C80" s="680" t="n">
        <v>0</v>
      </c>
      <c r="D80" s="680" t="n">
        <v>3546978</v>
      </c>
      <c r="E80" s="680" t="n">
        <v>0</v>
      </c>
      <c r="F80" s="680" t="n">
        <v>3546978</v>
      </c>
      <c r="G80" s="680" t="n">
        <v>0</v>
      </c>
      <c r="H80" s="274" t="n"/>
      <c r="I80" s="364" t="n"/>
      <c r="J80" s="671" t="n"/>
      <c r="K80" s="274">
        <f>VLOOKUP($A80,[3]Sheet1!$A:$J,3,0)</f>
        <v/>
      </c>
      <c r="L80" s="274">
        <f>VLOOKUP($A80,[3]Sheet1!$A:$J,4,0)</f>
        <v/>
      </c>
      <c r="M80" s="274">
        <f>VLOOKUP($A80,[3]Sheet1!$A:$J,5,0)</f>
        <v/>
      </c>
      <c r="N80" s="274">
        <f>VLOOKUP($A80,[3]Sheet1!$A:$J,6,0)</f>
        <v/>
      </c>
      <c r="O80" s="274">
        <f>VLOOKUP($A80,[3]Sheet1!$A:$J,7,0)</f>
        <v/>
      </c>
      <c r="P80" s="274">
        <f>VLOOKUP($A80,[3]Sheet1!$A:$J,8,0)</f>
        <v/>
      </c>
      <c r="Q80" s="364" t="n"/>
      <c r="R80" s="672">
        <f>K80-B80</f>
        <v/>
      </c>
      <c r="S80" s="672">
        <f>L80-C80</f>
        <v/>
      </c>
      <c r="T80" s="672">
        <f>M80-D80</f>
        <v/>
      </c>
      <c r="U80" s="672">
        <f>N80-E80</f>
        <v/>
      </c>
      <c r="V80" s="672">
        <f>O80-F80</f>
        <v/>
      </c>
      <c r="W80" s="672">
        <f>P80-G80</f>
        <v/>
      </c>
      <c r="X80" s="332" t="n"/>
      <c r="Y80" s="332" t="n"/>
      <c r="Z80" s="332" t="n"/>
      <c r="AA80" s="332" t="n"/>
      <c r="AB80" s="332" t="n"/>
      <c r="AC80" s="332" t="n"/>
      <c r="AD80" s="332" t="n"/>
      <c r="AE80" s="332" t="n"/>
      <c r="AF80" s="332" t="n"/>
      <c r="AG80" s="332" t="n"/>
      <c r="AH80" s="332" t="n"/>
      <c r="AI80" s="332" t="n"/>
      <c r="AJ80" s="332" t="n"/>
      <c r="AK80" s="332" t="n"/>
    </row>
    <row r="81" s="373">
      <c r="A81" s="239" t="inlineStr">
        <is>
          <t>874001</t>
        </is>
      </c>
      <c r="B81" s="680" t="n">
        <v>0</v>
      </c>
      <c r="C81" s="680" t="n">
        <v>0</v>
      </c>
      <c r="D81" s="680" t="n">
        <v>0</v>
      </c>
      <c r="E81" s="680" t="n">
        <v>0</v>
      </c>
      <c r="F81" s="680" t="n">
        <v>0</v>
      </c>
      <c r="G81" s="680" t="n">
        <v>0</v>
      </c>
      <c r="H81" s="274" t="n"/>
      <c r="I81" s="364" t="n"/>
      <c r="J81" s="671" t="n"/>
      <c r="K81" s="274">
        <f>VLOOKUP($A81,[3]Sheet1!$A:$J,3,0)</f>
        <v/>
      </c>
      <c r="L81" s="274">
        <f>VLOOKUP($A81,[3]Sheet1!$A:$J,4,0)</f>
        <v/>
      </c>
      <c r="M81" s="274">
        <f>VLOOKUP($A81,[3]Sheet1!$A:$J,5,0)</f>
        <v/>
      </c>
      <c r="N81" s="274">
        <f>VLOOKUP($A81,[3]Sheet1!$A:$J,6,0)</f>
        <v/>
      </c>
      <c r="O81" s="274">
        <f>VLOOKUP($A81,[3]Sheet1!$A:$J,7,0)</f>
        <v/>
      </c>
      <c r="P81" s="274">
        <f>VLOOKUP($A81,[3]Sheet1!$A:$J,8,0)</f>
        <v/>
      </c>
      <c r="Q81" s="364" t="n"/>
      <c r="R81" s="672">
        <f>K81-B81</f>
        <v/>
      </c>
      <c r="S81" s="672">
        <f>L81-C81</f>
        <v/>
      </c>
      <c r="T81" s="672">
        <f>M81-D81</f>
        <v/>
      </c>
      <c r="U81" s="672">
        <f>N81-E81</f>
        <v/>
      </c>
      <c r="V81" s="672">
        <f>O81-F81</f>
        <v/>
      </c>
      <c r="W81" s="672">
        <f>P81-G81</f>
        <v/>
      </c>
      <c r="X81" s="332" t="n"/>
      <c r="Y81" s="332" t="n"/>
      <c r="Z81" s="332" t="n"/>
      <c r="AA81" s="332" t="n"/>
      <c r="AB81" s="332" t="n"/>
      <c r="AC81" s="332" t="n"/>
      <c r="AD81" s="332" t="n"/>
      <c r="AE81" s="332" t="n"/>
      <c r="AF81" s="332" t="n"/>
      <c r="AG81" s="332" t="n"/>
      <c r="AH81" s="332" t="n"/>
      <c r="AI81" s="332" t="n"/>
      <c r="AJ81" s="332" t="n"/>
      <c r="AK81" s="332" t="n"/>
    </row>
    <row r="82" s="373">
      <c r="A82" s="239" t="inlineStr">
        <is>
          <t>875001</t>
        </is>
      </c>
      <c r="B82" s="680" t="n">
        <v>0</v>
      </c>
      <c r="C82" s="680" t="n">
        <v>0</v>
      </c>
      <c r="D82" s="680" t="n">
        <v>0</v>
      </c>
      <c r="E82" s="680" t="n">
        <v>0</v>
      </c>
      <c r="F82" s="680" t="n">
        <v>0</v>
      </c>
      <c r="G82" s="680" t="n">
        <v>0</v>
      </c>
      <c r="H82" s="274" t="n"/>
      <c r="I82" s="364" t="n"/>
      <c r="J82" s="671" t="n"/>
      <c r="K82" s="274">
        <f>VLOOKUP($A82,[3]Sheet1!$A:$J,3,0)</f>
        <v/>
      </c>
      <c r="L82" s="274">
        <f>VLOOKUP($A82,[3]Sheet1!$A:$J,4,0)</f>
        <v/>
      </c>
      <c r="M82" s="274">
        <f>VLOOKUP($A82,[3]Sheet1!$A:$J,5,0)</f>
        <v/>
      </c>
      <c r="N82" s="274">
        <f>VLOOKUP($A82,[3]Sheet1!$A:$J,6,0)</f>
        <v/>
      </c>
      <c r="O82" s="274">
        <f>VLOOKUP($A82,[3]Sheet1!$A:$J,7,0)</f>
        <v/>
      </c>
      <c r="P82" s="274">
        <f>VLOOKUP($A82,[3]Sheet1!$A:$J,8,0)</f>
        <v/>
      </c>
      <c r="Q82" s="364" t="n"/>
      <c r="R82" s="672">
        <f>K82-B82</f>
        <v/>
      </c>
      <c r="S82" s="672">
        <f>L82-C82</f>
        <v/>
      </c>
      <c r="T82" s="672">
        <f>M82-D82</f>
        <v/>
      </c>
      <c r="U82" s="672">
        <f>N82-E82</f>
        <v/>
      </c>
      <c r="V82" s="672">
        <f>O82-F82</f>
        <v/>
      </c>
      <c r="W82" s="672">
        <f>P82-G82</f>
        <v/>
      </c>
      <c r="X82" s="332" t="n"/>
      <c r="Y82" s="332" t="n"/>
      <c r="Z82" s="332" t="n"/>
      <c r="AA82" s="332" t="n"/>
      <c r="AB82" s="332" t="n"/>
      <c r="AC82" s="332" t="n"/>
      <c r="AD82" s="332" t="n"/>
      <c r="AE82" s="332" t="n"/>
      <c r="AF82" s="332" t="n"/>
      <c r="AG82" s="332" t="n"/>
      <c r="AH82" s="332" t="n"/>
      <c r="AI82" s="332" t="n"/>
      <c r="AJ82" s="332" t="n"/>
      <c r="AK82" s="332" t="n"/>
    </row>
    <row r="83" s="373">
      <c r="A83" s="239" t="inlineStr">
        <is>
          <t>876001</t>
        </is>
      </c>
      <c r="B83" s="680" t="n">
        <v>0</v>
      </c>
      <c r="C83" s="680" t="n">
        <v>0</v>
      </c>
      <c r="D83" s="680" t="n">
        <v>0</v>
      </c>
      <c r="E83" s="680" t="n">
        <v>0</v>
      </c>
      <c r="F83" s="680" t="n">
        <v>0</v>
      </c>
      <c r="G83" s="680" t="n">
        <v>0</v>
      </c>
      <c r="H83" s="274" t="n"/>
      <c r="I83" s="364" t="n"/>
      <c r="J83" s="671" t="n"/>
      <c r="K83" s="274" t="n"/>
      <c r="L83" s="274" t="n"/>
      <c r="M83" s="274" t="n"/>
      <c r="N83" s="274" t="n"/>
      <c r="O83" s="274" t="n"/>
      <c r="P83" s="274" t="n"/>
      <c r="Q83" s="364" t="n"/>
      <c r="R83" s="672">
        <f>K83-B83</f>
        <v/>
      </c>
      <c r="S83" s="672">
        <f>L83-C83</f>
        <v/>
      </c>
      <c r="T83" s="672">
        <f>M83-D83</f>
        <v/>
      </c>
      <c r="U83" s="672">
        <f>N83-E83</f>
        <v/>
      </c>
      <c r="V83" s="672">
        <f>O83-F83</f>
        <v/>
      </c>
      <c r="W83" s="672">
        <f>P83-G83</f>
        <v/>
      </c>
      <c r="X83" s="332" t="n"/>
      <c r="Y83" s="332" t="n"/>
      <c r="Z83" s="332" t="n"/>
      <c r="AA83" s="332" t="n"/>
      <c r="AB83" s="332" t="n"/>
      <c r="AC83" s="332" t="n"/>
      <c r="AD83" s="332" t="n"/>
      <c r="AE83" s="332" t="n"/>
      <c r="AF83" s="332" t="n"/>
      <c r="AG83" s="332" t="n"/>
      <c r="AH83" s="332" t="n"/>
      <c r="AI83" s="332" t="n"/>
      <c r="AJ83" s="332" t="n"/>
      <c r="AK83" s="332" t="n"/>
    </row>
    <row r="84">
      <c r="A84" s="239" t="inlineStr">
        <is>
          <t>899001</t>
        </is>
      </c>
      <c r="B84" s="680" t="n">
        <v>0</v>
      </c>
      <c r="C84" s="680" t="n">
        <v>0</v>
      </c>
      <c r="D84" s="680" t="n">
        <v>0</v>
      </c>
      <c r="E84" s="680" t="n">
        <v>0</v>
      </c>
      <c r="F84" s="680" t="n">
        <v>0</v>
      </c>
      <c r="G84" s="680" t="n">
        <v>0</v>
      </c>
      <c r="H84" s="274" t="n"/>
      <c r="J84" s="671" t="n"/>
      <c r="K84" s="274">
        <f>VLOOKUP($A84,[3]Sheet1!$A:$J,3,0)</f>
        <v/>
      </c>
      <c r="L84" s="274">
        <f>VLOOKUP($A84,[3]Sheet1!$A:$J,4,0)</f>
        <v/>
      </c>
      <c r="M84" s="274">
        <f>VLOOKUP($A84,[3]Sheet1!$A:$J,5,0)</f>
        <v/>
      </c>
      <c r="N84" s="274">
        <f>VLOOKUP($A84,[3]Sheet1!$A:$J,6,0)</f>
        <v/>
      </c>
      <c r="O84" s="274">
        <f>VLOOKUP($A84,[3]Sheet1!$A:$J,7,0)</f>
        <v/>
      </c>
      <c r="P84" s="274">
        <f>VLOOKUP($A84,[3]Sheet1!$A:$J,8,0)</f>
        <v/>
      </c>
      <c r="R84" s="672">
        <f>K84-B84</f>
        <v/>
      </c>
      <c r="S84" s="672">
        <f>L84-C84</f>
        <v/>
      </c>
      <c r="T84" s="672">
        <f>M84-D84</f>
        <v/>
      </c>
      <c r="U84" s="672">
        <f>N84-E84</f>
        <v/>
      </c>
      <c r="V84" s="672">
        <f>O84-F84</f>
        <v/>
      </c>
      <c r="W84" s="672">
        <f>P84-G84</f>
        <v/>
      </c>
    </row>
    <row r="85">
      <c r="A85" s="239" t="n"/>
      <c r="B85" s="680">
        <f>SUM(B1:B84)</f>
        <v/>
      </c>
      <c r="C85" s="680">
        <f>SUM(C1:C84)</f>
        <v/>
      </c>
      <c r="D85" s="680">
        <f>SUM(D1:D84)</f>
        <v/>
      </c>
      <c r="E85" s="680">
        <f>SUM(E1:E84)</f>
        <v/>
      </c>
      <c r="F85" s="680">
        <f>SUM(F1:F84)</f>
        <v/>
      </c>
      <c r="G85" s="680">
        <f>SUM(G1:G84)</f>
        <v/>
      </c>
      <c r="H85" s="274" t="n"/>
      <c r="J85" s="671" t="n"/>
      <c r="K85" s="274">
        <f>SUM(K1:K84)</f>
        <v/>
      </c>
      <c r="L85" s="274">
        <f>SUM(L1:L84)</f>
        <v/>
      </c>
      <c r="M85" s="274">
        <f>SUM(M1:M84)</f>
        <v/>
      </c>
      <c r="N85" s="274">
        <f>SUM(N1:N84)</f>
        <v/>
      </c>
      <c r="O85" s="274">
        <f>SUM(O1:O84)</f>
        <v/>
      </c>
      <c r="P85" s="274">
        <f>SUM(P1:P84)</f>
        <v/>
      </c>
      <c r="R85" s="672">
        <f>K85-B85</f>
        <v/>
      </c>
      <c r="S85" s="672">
        <f>L85-C85</f>
        <v/>
      </c>
      <c r="T85" s="672">
        <f>M85-D85</f>
        <v/>
      </c>
      <c r="U85" s="672">
        <f>N85-E85</f>
        <v/>
      </c>
      <c r="V85" s="672">
        <f>O85-F85</f>
        <v/>
      </c>
      <c r="W85" s="672">
        <f>P85-G85</f>
        <v/>
      </c>
    </row>
    <row r="86">
      <c r="A86" t="inlineStr">
        <is>
          <t>Chênh lệch (Nợ - Có)</t>
        </is>
      </c>
      <c r="B86" s="668">
        <f>B85-C85</f>
        <v/>
      </c>
      <c r="C86" s="668" t="n"/>
      <c r="D86" s="668">
        <f>D85-E85</f>
        <v/>
      </c>
      <c r="E86" s="668" t="n"/>
      <c r="F86" s="668">
        <f>F85-G85</f>
        <v/>
      </c>
      <c r="G86" s="668" t="n"/>
      <c r="J86" s="674" t="n"/>
      <c r="K86" s="274" t="n">
        <v>185339361569</v>
      </c>
      <c r="L86" s="274" t="n">
        <v>185339361569</v>
      </c>
      <c r="M86" s="274" t="n">
        <v>38586545745995</v>
      </c>
      <c r="N86" s="274" t="n">
        <v>38586545745995</v>
      </c>
      <c r="O86" s="274" t="n">
        <v>482981351353</v>
      </c>
      <c r="P86" s="274" t="n">
        <v>482981351353</v>
      </c>
    </row>
    <row r="87">
      <c r="J87" s="671" t="n"/>
      <c r="K87" s="274">
        <f>K86-K85</f>
        <v/>
      </c>
      <c r="L87" s="274">
        <f>L86-L85</f>
        <v/>
      </c>
      <c r="M87" s="274">
        <f>M86-M85</f>
        <v/>
      </c>
      <c r="N87" s="274">
        <f>N86-N85</f>
        <v/>
      </c>
      <c r="O87" s="274">
        <f>O86-O85</f>
        <v/>
      </c>
      <c r="P87" s="274">
        <f>P86-P85</f>
        <v/>
      </c>
    </row>
    <row r="88">
      <c r="J88" s="674" t="n"/>
      <c r="K88" s="274" t="n"/>
      <c r="L88" s="274" t="n"/>
    </row>
    <row r="89">
      <c r="J89" s="671" t="n"/>
      <c r="K89" s="274" t="n"/>
    </row>
    <row r="90">
      <c r="J90" s="674" t="n"/>
      <c r="K90" s="274" t="n"/>
    </row>
  </sheetData>
  <autoFilter ref="K1:P87"/>
  <pageMargins left="0.2362204724409449" right="0.1574803149606299" top="0.1574803149606299" bottom="0.1574803149606299" header="0.3149606299212598" footer="0.3149606299212598"/>
  <pageSetup orientation="landscape" paperSize="8" scale="90"/>
</worksheet>
</file>

<file path=xl/worksheets/sheet9.xml><?xml version="1.0" encoding="utf-8"?>
<worksheet xmlns="http://schemas.openxmlformats.org/spreadsheetml/2006/main">
  <sheetPr codeName="Sheet9">
    <outlinePr summaryBelow="1" summaryRight="1"/>
    <pageSetUpPr/>
  </sheetPr>
  <dimension ref="A1:E33"/>
  <sheetViews>
    <sheetView topLeftCell="A6" workbookViewId="0">
      <selection activeCell="B43" sqref="B43"/>
    </sheetView>
  </sheetViews>
  <sheetFormatPr baseColWidth="8" defaultRowHeight="15"/>
  <cols>
    <col width="38.85546875" customWidth="1" style="373" min="1" max="1"/>
    <col width="33.28515625" customWidth="1" style="373" min="2" max="2"/>
    <col width="31.42578125" customWidth="1" style="373" min="3" max="3"/>
    <col width="30.85546875" customWidth="1" style="373" min="4" max="4"/>
    <col width="16.85546875" bestFit="1" customWidth="1" style="373" min="5" max="5"/>
    <col width="18" bestFit="1" customWidth="1" style="373" min="6" max="6"/>
    <col width="18.7109375" bestFit="1" customWidth="1" style="373" min="7" max="7"/>
  </cols>
  <sheetData>
    <row r="1" hidden="1" ht="15.75" customHeight="1" s="373" thickBot="1">
      <c r="A1" s="310" t="n"/>
    </row>
    <row r="2" hidden="1" ht="27.75" customHeight="1" s="373" thickBot="1">
      <c r="A2" s="306" t="inlineStr">
        <is>
          <t>Account</t>
        </is>
      </c>
      <c r="B2" s="306" t="inlineStr">
        <is>
          <t>Tên tài khoản</t>
        </is>
      </c>
      <c r="C2" s="307" t="inlineStr">
        <is>
          <t>TK SBV</t>
        </is>
      </c>
      <c r="D2" s="308" t="inlineStr">
        <is>
          <t xml:space="preserve">Amount </t>
        </is>
      </c>
    </row>
    <row r="3" hidden="1" ht="15.75" customHeight="1" s="373" thickBot="1">
      <c r="A3" s="310" t="inlineStr">
        <is>
          <t>Cấn trừ phải thu phải trả WU</t>
        </is>
      </c>
      <c r="D3" s="309" t="n"/>
    </row>
    <row r="4" hidden="1" s="373">
      <c r="A4" s="316" t="n">
        <v>13882.02</v>
      </c>
      <c r="B4" s="317" t="inlineStr">
        <is>
          <t>Phải thu Western Union - Ngoại tệ</t>
        </is>
      </c>
      <c r="C4" s="316" t="n"/>
      <c r="D4" s="681" t="n">
        <v>0</v>
      </c>
      <c r="E4" t="inlineStr">
        <is>
          <t>-</t>
        </is>
      </c>
    </row>
    <row r="5" hidden="1" s="373">
      <c r="A5" s="316" t="n">
        <v>33882.01</v>
      </c>
      <c r="B5" s="317" t="inlineStr">
        <is>
          <t>Phải trả Western Union - VNĐ</t>
        </is>
      </c>
      <c r="C5" s="316" t="n"/>
      <c r="D5" s="681">
        <f>-D4</f>
        <v/>
      </c>
    </row>
    <row r="6" ht="27.75" customHeight="1" s="373" thickBot="1">
      <c r="A6" s="306" t="inlineStr">
        <is>
          <t>Cấn trừ tài khoản trung gian mua bán ngoại tệ</t>
        </is>
      </c>
      <c r="B6" s="306" t="n"/>
      <c r="C6" s="307" t="n"/>
      <c r="D6" s="308" t="n"/>
    </row>
    <row r="7">
      <c r="A7" s="316" t="inlineStr">
        <is>
          <t>Nợ TK 33886.02</t>
        </is>
      </c>
      <c r="B7" s="317" t="inlineStr">
        <is>
          <t>Phải trả, phải nộp khác_Ngoại tệ</t>
        </is>
      </c>
      <c r="C7" s="316" t="n">
        <v>4599</v>
      </c>
      <c r="D7" s="681" t="n">
        <v>5375167887</v>
      </c>
    </row>
    <row r="8">
      <c r="A8" s="316" t="inlineStr">
        <is>
          <t>Có TK 13885.02</t>
        </is>
      </c>
      <c r="B8" s="317" t="inlineStr">
        <is>
          <t>Các khoản phải thu khác - Ngoại tệ</t>
        </is>
      </c>
      <c r="C8" s="316" t="n">
        <v>3592</v>
      </c>
      <c r="D8" s="681">
        <f>D7</f>
        <v/>
      </c>
    </row>
    <row r="9" hidden="1" ht="15.75" customHeight="1" s="373" thickBot="1">
      <c r="A9" s="310" t="inlineStr">
        <is>
          <t>Cấn trừ các tài khoản WASH</t>
        </is>
      </c>
    </row>
    <row r="10" hidden="1" s="373">
      <c r="A10" s="316" t="inlineStr">
        <is>
          <t>Có TK 1121</t>
        </is>
      </c>
      <c r="B10" s="317" t="inlineStr">
        <is>
          <t>Tiền gửi VND</t>
        </is>
      </c>
      <c r="C10" s="316" t="n">
        <v>1311</v>
      </c>
      <c r="D10" s="681" t="n">
        <v>0</v>
      </c>
    </row>
    <row r="11" hidden="1" s="373">
      <c r="A11" s="316" t="inlineStr">
        <is>
          <t>Nợ TK 33883.01</t>
        </is>
      </c>
      <c r="B11" s="317" t="inlineStr">
        <is>
          <t>Kiều hối phải trả VND</t>
        </is>
      </c>
      <c r="C11" s="316" t="n">
        <v>4540</v>
      </c>
      <c r="D11" s="681">
        <f>D10</f>
        <v/>
      </c>
    </row>
    <row r="12" hidden="1" s="373">
      <c r="A12" s="316" t="inlineStr">
        <is>
          <t>Có TK 1122</t>
        </is>
      </c>
      <c r="B12" s="317" t="inlineStr">
        <is>
          <t>Tiền gửi ngoại tệ</t>
        </is>
      </c>
      <c r="C12" s="316" t="n">
        <v>1311</v>
      </c>
      <c r="D12" s="681" t="n">
        <v>0</v>
      </c>
    </row>
    <row r="13" hidden="1" s="373">
      <c r="A13" s="316" t="inlineStr">
        <is>
          <t>Nợ TK 33884.02</t>
        </is>
      </c>
      <c r="B13" s="317" t="inlineStr">
        <is>
          <t>Phải trả đối tác - Ngoại tệ</t>
        </is>
      </c>
      <c r="C13" s="316" t="n">
        <v>4599</v>
      </c>
      <c r="D13" s="681">
        <f>D12</f>
        <v/>
      </c>
    </row>
    <row r="14" hidden="1" ht="15.75" customHeight="1" s="373" thickBot="1">
      <c r="A14" s="310" t="inlineStr">
        <is>
          <t xml:space="preserve">Cấn trừ phải thu phải trả với </t>
        </is>
      </c>
    </row>
    <row r="15" hidden="1" s="373">
      <c r="A15" s="316" t="inlineStr">
        <is>
          <t>Có TK 13881</t>
        </is>
      </c>
      <c r="B15" s="317" t="inlineStr">
        <is>
          <t xml:space="preserve">Phải thu của </t>
        </is>
      </c>
      <c r="C15" s="317" t="n">
        <v>3592</v>
      </c>
      <c r="D15" s="681" t="n"/>
    </row>
    <row r="16" hidden="1" s="373">
      <c r="A16" s="316" t="inlineStr">
        <is>
          <t xml:space="preserve"> Nợ TK 112</t>
        </is>
      </c>
      <c r="B16" s="317" t="inlineStr">
        <is>
          <t>Tiền gửi ngoại tệ</t>
        </is>
      </c>
      <c r="C16" s="317" t="n">
        <v>1311</v>
      </c>
      <c r="D16" s="681" t="n"/>
    </row>
    <row r="17" hidden="1" ht="15.75" customHeight="1" s="373" thickBot="1">
      <c r="A17" s="310" t="inlineStr">
        <is>
          <t>Cấn trừ phải thu phải trả với WU</t>
        </is>
      </c>
    </row>
    <row r="18" hidden="1" s="373">
      <c r="A18" s="316" t="inlineStr">
        <is>
          <t>Có TK 13882</t>
        </is>
      </c>
      <c r="B18" s="317" t="inlineStr">
        <is>
          <t>Phải thu WU</t>
        </is>
      </c>
      <c r="C18" s="317" t="n">
        <v>3592</v>
      </c>
      <c r="D18" s="681" t="n"/>
      <c r="E18" s="682" t="n"/>
    </row>
    <row r="19" hidden="1" s="373">
      <c r="A19" s="316" t="inlineStr">
        <is>
          <t>Nợ TK 112</t>
        </is>
      </c>
      <c r="B19" s="317" t="inlineStr">
        <is>
          <t>Tiền gửi ngoại tệ</t>
        </is>
      </c>
      <c r="C19" s="317" t="n">
        <v>1311</v>
      </c>
      <c r="D19" s="681" t="n"/>
    </row>
    <row r="20" hidden="1" ht="15.75" customHeight="1" s="373" thickBot="1">
      <c r="A20" s="310" t="inlineStr">
        <is>
          <t>Cấn trừ phải thu phải trả với WU</t>
        </is>
      </c>
    </row>
    <row r="21" hidden="1" s="373">
      <c r="A21" s="316" t="inlineStr">
        <is>
          <t>Có TK 112</t>
        </is>
      </c>
      <c r="B21" s="317" t="inlineStr">
        <is>
          <t>Tiền gửi ngoại tệ</t>
        </is>
      </c>
      <c r="C21" s="317" t="n">
        <v>1311</v>
      </c>
      <c r="D21" s="681" t="n"/>
    </row>
    <row r="22" hidden="1" s="373">
      <c r="A22" s="316" t="inlineStr">
        <is>
          <t>Nợ TK 33882.02</t>
        </is>
      </c>
      <c r="B22" s="317" t="inlineStr">
        <is>
          <t>Phải trả WU</t>
        </is>
      </c>
      <c r="C22" s="317" t="n">
        <v>4599</v>
      </c>
      <c r="D22" s="681" t="n"/>
      <c r="E22" s="682" t="n"/>
    </row>
    <row r="23" ht="15.75" customHeight="1" s="373" thickBot="1"/>
    <row r="24" ht="27.75" customHeight="1" s="373" thickBot="1">
      <c r="A24" s="306" t="inlineStr">
        <is>
          <t>Chuyển phải thu của  về tiền gửi</t>
        </is>
      </c>
      <c r="B24" s="306" t="n"/>
      <c r="C24" s="307" t="n"/>
      <c r="D24" s="308" t="n"/>
    </row>
    <row r="25">
      <c r="A25" s="316" t="inlineStr">
        <is>
          <t xml:space="preserve"> Nợ TK 112</t>
        </is>
      </c>
      <c r="B25" s="317" t="inlineStr">
        <is>
          <t>Tiền gửi ngoại tệ</t>
        </is>
      </c>
      <c r="C25" s="317" t="n">
        <v>1311</v>
      </c>
      <c r="D25" s="681">
        <f>D27</f>
        <v/>
      </c>
      <c r="E25" s="370" t="n"/>
    </row>
    <row r="26" hidden="1" s="373">
      <c r="A26" s="316" t="inlineStr">
        <is>
          <t>Nợ TK 33882.02</t>
        </is>
      </c>
      <c r="B26" s="317" t="inlineStr">
        <is>
          <t>Phải trả WU</t>
        </is>
      </c>
      <c r="C26" s="317" t="n">
        <v>4599</v>
      </c>
      <c r="D26" s="681" t="n">
        <v>0</v>
      </c>
      <c r="E26" s="682" t="n"/>
    </row>
    <row r="27">
      <c r="A27" s="316" t="inlineStr">
        <is>
          <t>Có TK 13881</t>
        </is>
      </c>
      <c r="B27" s="317" t="inlineStr">
        <is>
          <t xml:space="preserve">Phải thu của </t>
        </is>
      </c>
      <c r="C27" s="317" t="n">
        <v>3592</v>
      </c>
      <c r="D27" s="681" t="n">
        <v>13161293262</v>
      </c>
      <c r="E27" s="370" t="n"/>
    </row>
    <row r="28" hidden="1" s="373">
      <c r="A28" s="316" t="inlineStr">
        <is>
          <t>Có TK 13882</t>
        </is>
      </c>
      <c r="B28" s="317" t="inlineStr">
        <is>
          <t>Phải thu WU</t>
        </is>
      </c>
      <c r="C28" s="317" t="n">
        <v>3592</v>
      </c>
      <c r="D28" s="681" t="n">
        <v>0</v>
      </c>
      <c r="E28" s="682" t="n"/>
    </row>
    <row r="29">
      <c r="E29" s="682" t="n"/>
    </row>
    <row r="30" hidden="1" ht="27.75" customHeight="1" s="373" thickBot="1">
      <c r="A30" s="306" t="inlineStr">
        <is>
          <t>Ghi nhận lại tài khoản WASH vào tiền gửi và phải trả đối tác</t>
        </is>
      </c>
      <c r="B30" s="306" t="n"/>
      <c r="C30" s="307" t="n"/>
      <c r="D30" s="308" t="n"/>
    </row>
    <row r="31" hidden="1" s="373">
      <c r="A31" s="316" t="inlineStr">
        <is>
          <t xml:space="preserve"> Nợ TK 112</t>
        </is>
      </c>
      <c r="B31" s="317" t="inlineStr">
        <is>
          <t>Tiền gửi ngoại tệ</t>
        </is>
      </c>
      <c r="C31" s="317" t="n">
        <v>1311</v>
      </c>
      <c r="D31" s="681" t="n"/>
      <c r="E31" s="682" t="n"/>
    </row>
    <row r="32" hidden="1" s="373">
      <c r="A32" s="316" t="inlineStr">
        <is>
          <t>Có TK 33884.02</t>
        </is>
      </c>
      <c r="B32" s="317" t="inlineStr">
        <is>
          <t>Phải trả đối tác - Ngoại tệ</t>
        </is>
      </c>
      <c r="C32" s="317" t="n">
        <v>4599</v>
      </c>
      <c r="D32" s="681" t="n"/>
      <c r="E32" s="682" t="n"/>
    </row>
    <row r="33" hidden="1" s="373">
      <c r="A33" s="316" t="inlineStr">
        <is>
          <t>Có TK 33883.01</t>
        </is>
      </c>
      <c r="B33" s="317" t="inlineStr">
        <is>
          <t>Phải trả đối tác - VND</t>
        </is>
      </c>
      <c r="C33" s="317" t="n">
        <v>4599</v>
      </c>
      <c r="D33" s="681" t="n"/>
      <c r="E33" s="682" t="n"/>
    </row>
    <row r="34" hidden="1" s="373"/>
  </sheetData>
  <pageMargins left="0.7" right="0.7" top="0.75" bottom="0.75" header="0.3" footer="0.3"/>
  <pageSetup orientation="portrait"/>
  <legacyDrawing xmlns:r="http://schemas.openxmlformats.org/officeDocument/2006/relationships" r:id="anysvml"/>
</worksheet>
</file>

<file path=xl/worksheets/sheet10.xml><?xml version="1.0" encoding="utf-8"?>
<worksheet xmlns="http://schemas.openxmlformats.org/spreadsheetml/2006/main">
  <sheetPr codeName="Sheet10">
    <outlinePr summaryBelow="1" summaryRight="1"/>
    <pageSetUpPr/>
  </sheetPr>
  <dimension ref="A1:P10"/>
  <sheetViews>
    <sheetView workbookViewId="0">
      <selection activeCell="F18" sqref="F18"/>
    </sheetView>
  </sheetViews>
  <sheetFormatPr baseColWidth="8" defaultColWidth="8.7109375" defaultRowHeight="15"/>
  <cols>
    <col width="10" customWidth="1" style="292" min="1" max="2"/>
    <col width="10" customWidth="1" style="373" min="3" max="3"/>
    <col width="29.28515625" bestFit="1" customWidth="1" style="373" min="4" max="4"/>
    <col width="9.140625" customWidth="1" style="373" min="5" max="6"/>
    <col width="14" bestFit="1" customWidth="1" style="315" min="7" max="7"/>
    <col width="11.42578125" bestFit="1" customWidth="1" style="294" min="8" max="8"/>
    <col width="13.42578125" bestFit="1" customWidth="1" style="315" min="9" max="9"/>
    <col width="11.42578125" bestFit="1" customWidth="1" style="294" min="10" max="10"/>
    <col width="5.42578125" bestFit="1" customWidth="1" style="315" min="11" max="11"/>
    <col width="5.5703125" bestFit="1" customWidth="1" style="294" min="12" max="12"/>
    <col width="13.42578125" bestFit="1" customWidth="1" style="315" min="13" max="13"/>
    <col width="11.42578125" bestFit="1" customWidth="1" style="294" min="14" max="14"/>
    <col width="13.5703125" customWidth="1" style="373" min="15" max="15"/>
    <col width="18.140625" customWidth="1" style="373" min="16" max="16"/>
    <col width="8.7109375" customWidth="1" style="373" min="17" max="16384"/>
  </cols>
  <sheetData>
    <row r="1" ht="18.75" customHeight="1" s="373">
      <c r="A1" s="516" t="inlineStr">
        <is>
          <t>SỔ CHI TIẾT CÁC TÀI KHOẢN</t>
        </is>
      </c>
    </row>
    <row r="2">
      <c r="A2" s="517" t="inlineStr">
        <is>
          <t>Loại tiền: Tổng hợp; Tài khoản: 421; Quý 1 năm 2026</t>
        </is>
      </c>
    </row>
    <row r="3" ht="16.5" customHeight="1" s="373">
      <c r="A3" s="522" t="inlineStr">
        <is>
          <t>Ngày hạch toán</t>
        </is>
      </c>
      <c r="B3" s="522" t="inlineStr">
        <is>
          <t>Ngày chứng từ</t>
        </is>
      </c>
      <c r="C3" s="518" t="inlineStr">
        <is>
          <t>Số chứng từ</t>
        </is>
      </c>
      <c r="D3" s="518" t="inlineStr">
        <is>
          <t>Diễn giải</t>
        </is>
      </c>
      <c r="E3" s="518" t="inlineStr">
        <is>
          <t>Tài khoản</t>
        </is>
      </c>
      <c r="F3" s="518" t="inlineStr">
        <is>
          <t>TK đối ứng</t>
        </is>
      </c>
      <c r="G3" s="683" t="inlineStr">
        <is>
          <t>Phát sinh Nợ</t>
        </is>
      </c>
      <c r="H3" s="684" t="n"/>
      <c r="I3" s="683" t="inlineStr">
        <is>
          <t>Phát sinh Có</t>
        </is>
      </c>
      <c r="J3" s="684" t="n"/>
      <c r="K3" s="683" t="inlineStr">
        <is>
          <t>Dư Nợ</t>
        </is>
      </c>
      <c r="L3" s="684" t="n"/>
      <c r="M3" s="683" t="inlineStr">
        <is>
          <t>Dư Có</t>
        </is>
      </c>
      <c r="N3" s="684" t="n"/>
      <c r="O3" s="518" t="inlineStr">
        <is>
          <t>Mã mục thu/chi</t>
        </is>
      </c>
      <c r="P3" s="518" t="inlineStr">
        <is>
          <t>Tên mục thu/chi</t>
        </is>
      </c>
    </row>
    <row r="4" ht="15" customHeight="1" s="373">
      <c r="A4" s="685" t="n"/>
      <c r="B4" s="685" t="n"/>
      <c r="C4" s="685" t="n"/>
      <c r="D4" s="685" t="n"/>
      <c r="E4" s="685" t="n"/>
      <c r="F4" s="685" t="n"/>
      <c r="G4" s="376" t="inlineStr">
        <is>
          <t>Số tiền</t>
        </is>
      </c>
      <c r="H4" s="377" t="inlineStr">
        <is>
          <t>Quy đổi</t>
        </is>
      </c>
      <c r="I4" s="376" t="inlineStr">
        <is>
          <t>Số tiền</t>
        </is>
      </c>
      <c r="J4" s="377" t="inlineStr">
        <is>
          <t>Quy đổi</t>
        </is>
      </c>
      <c r="K4" s="376" t="inlineStr">
        <is>
          <t>Số tiền</t>
        </is>
      </c>
      <c r="L4" s="377" t="inlineStr">
        <is>
          <t>Quy đổi</t>
        </is>
      </c>
      <c r="M4" s="376" t="inlineStr">
        <is>
          <t>Số tiền</t>
        </is>
      </c>
      <c r="N4" s="377" t="inlineStr">
        <is>
          <t>Quy đổi</t>
        </is>
      </c>
      <c r="O4" s="685" t="n"/>
      <c r="P4" s="685" t="n"/>
    </row>
    <row r="5">
      <c r="A5" s="378" t="n"/>
      <c r="B5" s="378" t="n"/>
      <c r="C5" s="379" t="inlineStr"/>
      <c r="D5" s="379" t="inlineStr">
        <is>
          <t>Số dư đầu kỳ</t>
        </is>
      </c>
      <c r="E5" s="379" t="inlineStr">
        <is>
          <t>421</t>
        </is>
      </c>
      <c r="F5" s="379" t="n"/>
      <c r="G5" s="380" t="n"/>
      <c r="H5" s="381" t="n"/>
      <c r="I5" s="380" t="n"/>
      <c r="J5" s="381" t="n"/>
      <c r="K5" s="380" t="n">
        <v>0</v>
      </c>
      <c r="L5" s="381" t="n">
        <v>0</v>
      </c>
      <c r="M5" s="380" t="n">
        <v>17967434045</v>
      </c>
      <c r="N5" s="381" t="n">
        <v>17967434045</v>
      </c>
      <c r="O5" s="379" t="n"/>
      <c r="P5" s="379" t="n"/>
    </row>
    <row r="6">
      <c r="A6" s="378" t="n">
        <v>46027</v>
      </c>
      <c r="B6" s="378" t="n">
        <v>46027</v>
      </c>
      <c r="C6" s="379" t="inlineStr">
        <is>
          <t>ZKC01</t>
        </is>
      </c>
      <c r="D6" s="379" t="inlineStr">
        <is>
          <t>Kết chuyển lợi nhuận sau thuế năm 2025</t>
        </is>
      </c>
      <c r="E6" s="379" t="inlineStr">
        <is>
          <t>421</t>
        </is>
      </c>
      <c r="F6" s="379" t="inlineStr">
        <is>
          <t>42121.01</t>
        </is>
      </c>
      <c r="G6" s="380" t="n">
        <v>0</v>
      </c>
      <c r="H6" s="381" t="n">
        <v>0</v>
      </c>
      <c r="I6" s="380" t="n">
        <v>17967434045</v>
      </c>
      <c r="J6" s="381" t="n">
        <v>17967434045</v>
      </c>
      <c r="K6" s="380" t="n">
        <v>0</v>
      </c>
      <c r="L6" s="381" t="n">
        <v>0</v>
      </c>
      <c r="M6" s="380" t="n">
        <v>35934868090</v>
      </c>
      <c r="N6" s="381" t="n">
        <v>35934868090</v>
      </c>
      <c r="O6" s="379" t="n"/>
      <c r="P6" s="379" t="n"/>
    </row>
    <row r="7">
      <c r="A7" s="378" t="n">
        <v>46027</v>
      </c>
      <c r="B7" s="378" t="n">
        <v>46027</v>
      </c>
      <c r="C7" s="379" t="inlineStr">
        <is>
          <t>ZKC01</t>
        </is>
      </c>
      <c r="D7" s="379" t="inlineStr">
        <is>
          <t>Kết chuyển lợi nhuận sau thuế năm 2025</t>
        </is>
      </c>
      <c r="E7" s="379" t="inlineStr">
        <is>
          <t>421</t>
        </is>
      </c>
      <c r="F7" s="379" t="inlineStr">
        <is>
          <t>42111.01</t>
        </is>
      </c>
      <c r="G7" s="380" t="n">
        <v>17967434045</v>
      </c>
      <c r="H7" s="381" t="n">
        <v>17967434045</v>
      </c>
      <c r="I7" s="380" t="n">
        <v>0</v>
      </c>
      <c r="J7" s="381" t="n">
        <v>0</v>
      </c>
      <c r="K7" s="380" t="n">
        <v>0</v>
      </c>
      <c r="L7" s="381" t="n">
        <v>0</v>
      </c>
      <c r="M7" s="380" t="n">
        <v>17967434045</v>
      </c>
      <c r="N7" s="381" t="n">
        <v>17967434045</v>
      </c>
      <c r="O7" s="379" t="n"/>
      <c r="P7" s="379" t="n"/>
    </row>
    <row r="8">
      <c r="A8" s="378" t="n"/>
      <c r="B8" s="378" t="n"/>
      <c r="C8" s="379" t="inlineStr"/>
      <c r="D8" s="379" t="inlineStr">
        <is>
          <t>Cộng</t>
        </is>
      </c>
      <c r="E8" s="379" t="inlineStr">
        <is>
          <t>421</t>
        </is>
      </c>
      <c r="F8" s="379" t="n"/>
      <c r="G8" s="380" t="n">
        <v>17967434045</v>
      </c>
      <c r="H8" s="381" t="n">
        <v>17967434045</v>
      </c>
      <c r="I8" s="380" t="n">
        <v>17967434045</v>
      </c>
      <c r="J8" s="381" t="n">
        <v>17967434045</v>
      </c>
      <c r="K8" s="380" t="n"/>
      <c r="L8" s="381" t="n"/>
      <c r="M8" s="380" t="n"/>
      <c r="N8" s="381" t="n"/>
      <c r="O8" s="379" t="n"/>
      <c r="P8" s="379" t="n"/>
    </row>
    <row r="9">
      <c r="A9" s="378" t="n"/>
      <c r="B9" s="378" t="n"/>
      <c r="C9" s="379" t="inlineStr"/>
      <c r="D9" s="379" t="inlineStr">
        <is>
          <t>Số dư cuối kỳ</t>
        </is>
      </c>
      <c r="E9" s="379" t="inlineStr">
        <is>
          <t>421</t>
        </is>
      </c>
      <c r="F9" s="379" t="n"/>
      <c r="G9" s="380" t="n"/>
      <c r="H9" s="381" t="n"/>
      <c r="I9" s="380" t="n"/>
      <c r="J9" s="381" t="n"/>
      <c r="K9" s="380" t="n">
        <v>0</v>
      </c>
      <c r="L9" s="381" t="n">
        <v>0</v>
      </c>
      <c r="M9" s="380" t="n">
        <v>17967434045</v>
      </c>
      <c r="N9" s="381" t="n">
        <v>17967434045</v>
      </c>
      <c r="O9" s="379" t="n"/>
      <c r="P9" s="379" t="n"/>
    </row>
    <row r="10">
      <c r="A10" s="382" t="inlineStr">
        <is>
          <t>Số dòng = 5</t>
        </is>
      </c>
      <c r="G10" s="383" t="n">
        <v>17967434045</v>
      </c>
      <c r="H10" s="384" t="n">
        <v>17967434045</v>
      </c>
      <c r="I10" s="383" t="n">
        <v>17967434045</v>
      </c>
      <c r="J10" s="384" t="n">
        <v>17967434045</v>
      </c>
    </row>
  </sheetData>
  <mergeCells count="14">
    <mergeCell ref="A1:P1"/>
    <mergeCell ref="C3:C4"/>
    <mergeCell ref="A3:A4"/>
    <mergeCell ref="O3:O4"/>
    <mergeCell ref="P3:P4"/>
    <mergeCell ref="B3:B4"/>
    <mergeCell ref="E3:E4"/>
    <mergeCell ref="F3:F4"/>
    <mergeCell ref="D3:D4"/>
    <mergeCell ref="A2:P2"/>
    <mergeCell ref="M3:N3"/>
    <mergeCell ref="G3:H3"/>
    <mergeCell ref="K3:L3"/>
    <mergeCell ref="I3:J3"/>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33"/>
  <sheetViews>
    <sheetView topLeftCell="A21" workbookViewId="0">
      <selection activeCell="C46" sqref="C46"/>
    </sheetView>
  </sheetViews>
  <sheetFormatPr baseColWidth="8" defaultColWidth="9.140625" defaultRowHeight="15"/>
  <cols>
    <col width="1.85546875" customWidth="1" style="352" min="1" max="1"/>
    <col width="5.5703125" customWidth="1" style="352" min="2" max="2"/>
    <col width="56.42578125" bestFit="1" customWidth="1" style="352" min="3" max="3"/>
    <col width="23" customWidth="1" style="686" min="4" max="4"/>
    <col width="34" customWidth="1" style="352" min="5" max="5"/>
    <col width="20.42578125" bestFit="1" customWidth="1" style="352" min="6" max="6"/>
    <col width="14.85546875" bestFit="1" customWidth="1" style="352" min="7" max="7"/>
    <col width="34" customWidth="1" style="352" min="8" max="10"/>
    <col width="9.140625" customWidth="1" style="352" min="11" max="16384"/>
  </cols>
  <sheetData>
    <row r="1" ht="15.75" customFormat="1" customHeight="1" s="338">
      <c r="A1" s="336" t="inlineStr">
        <is>
          <t>Ten cong ty</t>
        </is>
      </c>
      <c r="B1" s="336" t="n"/>
      <c r="C1" s="687" t="n"/>
      <c r="D1" s="336" t="n"/>
      <c r="E1" s="336" t="n"/>
    </row>
    <row r="2" ht="15.75" customFormat="1" customHeight="1" s="338">
      <c r="A2" s="336" t="inlineStr">
        <is>
          <t>PHÒNG TÀI CHÍNH KẾ TOÁN</t>
        </is>
      </c>
      <c r="B2" s="336" t="n"/>
      <c r="C2" s="687" t="n"/>
      <c r="D2" s="336" t="n"/>
      <c r="E2" s="336" t="n"/>
    </row>
    <row r="3" ht="15.75" customFormat="1" customHeight="1" s="338">
      <c r="A3" s="336" t="n"/>
      <c r="B3" s="336" t="n"/>
      <c r="C3" s="687" t="n"/>
      <c r="D3" s="336" t="n"/>
      <c r="E3" s="336" t="n"/>
    </row>
    <row r="4" ht="32.25" customFormat="1" customHeight="1" s="338">
      <c r="A4" s="524" t="inlineStr">
        <is>
          <t>BẢNG TÍNH THUẾ THU NHẬP DOANH NGHIỆP TẠM TÍNH Quý 1 năm 2026</t>
        </is>
      </c>
      <c r="E4" s="336" t="n"/>
    </row>
    <row r="6">
      <c r="B6" s="340" t="inlineStr">
        <is>
          <t>STT</t>
        </is>
      </c>
      <c r="C6" s="340" t="inlineStr">
        <is>
          <t>Nội Dung</t>
        </is>
      </c>
      <c r="D6" s="688" t="inlineStr">
        <is>
          <t xml:space="preserve">Số tiền </t>
        </is>
      </c>
      <c r="G6" s="689" t="n"/>
    </row>
    <row r="7">
      <c r="B7" s="340" t="n">
        <v>1</v>
      </c>
      <c r="C7" s="340" t="inlineStr">
        <is>
          <t>Doanh thu Quý 1 năm 2026</t>
        </is>
      </c>
      <c r="D7" s="688">
        <f>SUM(D8:D10)</f>
        <v/>
      </c>
      <c r="G7" s="689" t="n"/>
    </row>
    <row r="8">
      <c r="B8" s="340" t="n"/>
      <c r="C8" s="340" t="inlineStr">
        <is>
          <t>Doanh thu phí Quý 1 năm 2026</t>
        </is>
      </c>
      <c r="D8" s="688">
        <f>[5]Sheet24!R31</f>
        <v/>
      </c>
      <c r="G8" s="689" t="n"/>
    </row>
    <row r="9">
      <c r="B9" s="340" t="n"/>
      <c r="C9" s="340" t="inlineStr">
        <is>
          <t>Doanh thu tài chính Quý 1 năm 2026</t>
        </is>
      </c>
      <c r="D9" s="688">
        <f>[5]Sheet24!R32</f>
        <v/>
      </c>
      <c r="F9" s="690" t="n"/>
      <c r="G9" s="689" t="n"/>
    </row>
    <row r="10">
      <c r="B10" s="340" t="n"/>
      <c r="C10" s="340" t="inlineStr">
        <is>
          <t>Thu nhập khác Quý 1 năm 2026</t>
        </is>
      </c>
      <c r="D10" s="688" t="n">
        <v>0</v>
      </c>
    </row>
    <row r="11">
      <c r="B11" s="340" t="n">
        <v>2</v>
      </c>
      <c r="C11" s="340" t="inlineStr">
        <is>
          <t>Chi phí Quý 1 năm 2026</t>
        </is>
      </c>
      <c r="D11" s="688">
        <f>SUM(D12:D16)</f>
        <v/>
      </c>
      <c r="E11" s="691" t="inlineStr">
        <is>
          <t>Lợi nhuận trước thuế</t>
        </is>
      </c>
      <c r="F11" s="692">
        <f>D7-D11</f>
        <v/>
      </c>
      <c r="G11" s="689" t="n"/>
    </row>
    <row r="12">
      <c r="B12" s="340" t="n"/>
      <c r="C12" s="340" t="inlineStr">
        <is>
          <t>Giá vốn hàng bán Quý 1 năm 2026</t>
        </is>
      </c>
      <c r="D12" s="688">
        <f>[5]Sheet24!P33</f>
        <v/>
      </c>
      <c r="F12" s="690" t="n"/>
      <c r="G12" s="689" t="n"/>
    </row>
    <row r="13">
      <c r="B13" s="340" t="n"/>
      <c r="C13" s="340" t="inlineStr">
        <is>
          <t>Chi phí bán hàng Quý 1 năm 2026</t>
        </is>
      </c>
      <c r="D13" s="688" t="n">
        <v>0</v>
      </c>
      <c r="G13" s="689" t="n"/>
    </row>
    <row r="14">
      <c r="B14" s="340" t="n"/>
      <c r="C14" s="340" t="inlineStr">
        <is>
          <t>Chi phí tài chính Quý 1 năm 2026</t>
        </is>
      </c>
      <c r="D14" s="688">
        <f>[5]Sheet24!J41</f>
        <v/>
      </c>
      <c r="F14" s="693" t="n"/>
      <c r="G14" s="689" t="n"/>
    </row>
    <row r="15">
      <c r="B15" s="340" t="n"/>
      <c r="C15" s="340" t="inlineStr">
        <is>
          <t>Chi phí quản lý doanh nghiệp Quý 1 năm 2026</t>
        </is>
      </c>
      <c r="D15" s="694">
        <f>[5]Sheet24!P42</f>
        <v/>
      </c>
      <c r="G15" s="689" t="n"/>
    </row>
    <row r="16" ht="15" customHeight="1" s="373">
      <c r="B16" s="340" t="n"/>
      <c r="C16" s="340" t="inlineStr">
        <is>
          <t>Chi phí khác</t>
        </is>
      </c>
      <c r="D16" s="688">
        <f>[5]Sheet24!M48</f>
        <v/>
      </c>
      <c r="G16" s="689" t="n"/>
    </row>
    <row r="17">
      <c r="B17" s="340" t="n">
        <v>3</v>
      </c>
      <c r="C17" s="340" t="inlineStr">
        <is>
          <t>Chi phí không được khấu trừ thuế TNDN Quý 1 năm 2026</t>
        </is>
      </c>
      <c r="D17" s="688">
        <f>SUM(D18:D20)</f>
        <v/>
      </c>
      <c r="G17" s="689" t="n"/>
    </row>
    <row r="18">
      <c r="B18" s="340" t="n"/>
      <c r="C18" s="340" t="inlineStr">
        <is>
          <t>Chi thù lao chủ tịch + kiểm soát viên</t>
        </is>
      </c>
      <c r="D18" s="688">
        <f>15000000</f>
        <v/>
      </c>
      <c r="G18" s="689" t="n"/>
    </row>
    <row r="19" hidden="1" s="373">
      <c r="B19" s="340" t="n"/>
      <c r="C19" s="340" t="inlineStr">
        <is>
          <t>Chi phí marketing khuyến mại giữ lại cho chi nhánh</t>
        </is>
      </c>
      <c r="D19" s="688" t="n">
        <v>0</v>
      </c>
    </row>
    <row r="20" ht="15" customHeight="1" s="373">
      <c r="B20" s="340" t="n"/>
      <c r="C20" s="340" t="inlineStr">
        <is>
          <t>Chi phí khác</t>
        </is>
      </c>
      <c r="D20" s="688">
        <f>[5]Sheet24!F48</f>
        <v/>
      </c>
    </row>
    <row r="21">
      <c r="B21" s="340" t="n">
        <v>4</v>
      </c>
      <c r="C21" s="340" t="inlineStr">
        <is>
          <t>Chi phí tính thuế TNDN Quý 1 năm 2026</t>
        </is>
      </c>
      <c r="D21" s="688">
        <f>D11-D17</f>
        <v/>
      </c>
      <c r="E21" s="690" t="n"/>
    </row>
    <row r="22">
      <c r="B22" s="340" t="n">
        <v>5</v>
      </c>
      <c r="C22" s="340" t="inlineStr">
        <is>
          <t>Thu nhập tính thuế thuế Quý 1 năm 2026</t>
        </is>
      </c>
      <c r="D22" s="688">
        <f>D7-D21</f>
        <v/>
      </c>
      <c r="E22" s="690" t="n"/>
      <c r="F22" s="690" t="n"/>
      <c r="G22" s="690" t="n"/>
      <c r="H22" s="686" t="n"/>
    </row>
    <row r="23">
      <c r="B23" s="340" t="n">
        <v>6</v>
      </c>
      <c r="C23" s="340" t="inlineStr">
        <is>
          <t>Thuế TNDN Quý 1 năm 2026</t>
        </is>
      </c>
      <c r="D23" s="688">
        <f>ROUND(D22*0.2,0)</f>
        <v/>
      </c>
      <c r="E23" s="686" t="n"/>
      <c r="G23" s="690" t="n"/>
      <c r="H23" s="690" t="n"/>
    </row>
    <row r="24" hidden="1" s="373">
      <c r="B24" s="340" t="n">
        <v>7</v>
      </c>
      <c r="C24" s="340" t="inlineStr">
        <is>
          <t>Thuế TNDN quý 1.2024</t>
        </is>
      </c>
      <c r="D24" s="688" t="n"/>
      <c r="H24" s="695" t="n"/>
    </row>
    <row r="25" hidden="1" s="373">
      <c r="B25" s="340" t="n">
        <v>8</v>
      </c>
      <c r="C25" s="340" t="inlineStr">
        <is>
          <t>Thuế TNDN Quý 2.2024</t>
        </is>
      </c>
      <c r="D25" s="688" t="n"/>
      <c r="E25" s="693" t="n"/>
      <c r="F25" s="693" t="n"/>
    </row>
    <row r="26" hidden="1" s="373">
      <c r="B26" s="340" t="n">
        <v>9</v>
      </c>
      <c r="C26" s="340" t="inlineStr">
        <is>
          <t>Thuế TNDN quý 3.2024</t>
        </is>
      </c>
      <c r="D26" s="688" t="n"/>
      <c r="E26" s="693" t="n"/>
      <c r="F26" s="693" t="n"/>
    </row>
    <row r="27" hidden="1" s="373">
      <c r="B27" s="340" t="n">
        <v>10</v>
      </c>
      <c r="C27" s="340" t="inlineStr">
        <is>
          <t>Thuế TNDN quý 4.2024</t>
        </is>
      </c>
      <c r="D27" s="696">
        <f>D23-D24-D25-D26</f>
        <v/>
      </c>
      <c r="E27" s="693" t="n"/>
      <c r="F27" s="693" t="n"/>
    </row>
    <row r="28">
      <c r="B28" s="340" t="n">
        <v>7</v>
      </c>
      <c r="C28" s="340" t="inlineStr">
        <is>
          <t>Lợi nhuận trước thuế</t>
        </is>
      </c>
      <c r="D28" s="688">
        <f>D7-D11</f>
        <v/>
      </c>
      <c r="E28" s="693" t="n"/>
    </row>
    <row r="29">
      <c r="B29" s="340" t="n">
        <v>8</v>
      </c>
      <c r="C29" s="340" t="inlineStr">
        <is>
          <t>Lợi nhuận sau thuế Quý 1 năm 2026</t>
        </is>
      </c>
      <c r="D29" s="688">
        <f>D28-D23</f>
        <v/>
      </c>
      <c r="E29" s="693" t="n"/>
    </row>
    <row r="30">
      <c r="B30" s="352" t="n"/>
      <c r="C30" s="352" t="n"/>
      <c r="D30" s="686" t="n"/>
      <c r="E30" s="693" t="n"/>
      <c r="F30" s="693" t="n"/>
      <c r="G30" s="697" t="n"/>
      <c r="H30" s="697" t="n"/>
    </row>
    <row r="31">
      <c r="B31" s="525" t="inlineStr">
        <is>
          <t>Lập bảng                                         Kiểm soát                                              Tổng giám đốc</t>
        </is>
      </c>
      <c r="H31" s="697" t="n"/>
    </row>
    <row r="32">
      <c r="F32" s="690" t="n"/>
    </row>
    <row r="33">
      <c r="F33" s="697" t="n"/>
    </row>
  </sheetData>
  <mergeCells count="2">
    <mergeCell ref="B31:D31"/>
    <mergeCell ref="A4:D4"/>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TRANGTH</dc:creator>
  <dcterms:created xsi:type="dcterms:W3CDTF">2014-01-07T02:42:55Z</dcterms:created>
  <dcterms:modified xsi:type="dcterms:W3CDTF">2026-10-07T08:57:59Z</dcterms:modified>
  <cp:lastModifiedBy>Tuan Anh</cp:lastModifiedBy>
  <cp:lastPrinted>2024-11-08T09:55:09Z</cp:lastPrinted>
</cp:coreProperties>
</file>